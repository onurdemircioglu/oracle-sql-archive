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 defaultThemeVersion="166925"/>
  <xr:revisionPtr revIDLastSave="0" documentId="13_ncr:1_{4BC359DA-D4E4-4EAC-8B00-77F4E7C8C47D}" xr6:coauthVersionLast="47" xr6:coauthVersionMax="47" xr10:uidLastSave="{00000000-0000-0000-0000-000000000000}"/>
  <bookViews>
    <workbookView xWindow="-120" yWindow="-120" windowWidth="27435" windowHeight="14805" tabRatio="500" xr2:uid="{00000000-000D-0000-FFFF-FFFF00000000}"/>
  </bookViews>
  <sheets>
    <sheet name="INSERT_VERSION" sheetId="1" r:id="rId1"/>
    <sheet name="DUAL VERSION" sheetId="3" r:id="rId2"/>
    <sheet name="VBA_VERSION" sheetId="5" r:id="rId3"/>
  </sheets>
  <functionGroups builtInGroupCount="19"/>
  <calcPr calcId="18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7" i="5" l="1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6" i="5"/>
  <c r="L3" i="5"/>
  <c r="K4" i="5"/>
  <c r="L4" i="5"/>
  <c r="K5" i="5"/>
  <c r="L5" i="5"/>
  <c r="K6" i="5"/>
  <c r="K3" i="5"/>
  <c r="K11" i="5"/>
  <c r="K10" i="5"/>
  <c r="K9" i="5"/>
  <c r="K8" i="5"/>
  <c r="K22" i="5"/>
  <c r="K21" i="5"/>
  <c r="K20" i="5"/>
  <c r="K19" i="5"/>
  <c r="K18" i="5"/>
  <c r="K17" i="5"/>
  <c r="K16" i="5"/>
  <c r="K15" i="5"/>
  <c r="K14" i="5"/>
  <c r="K13" i="5"/>
  <c r="K12" i="5"/>
  <c r="K7" i="5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H1" i="1"/>
</calcChain>
</file>

<file path=xl/sharedStrings.xml><?xml version="1.0" encoding="utf-8"?>
<sst xmlns="http://schemas.openxmlformats.org/spreadsheetml/2006/main" count="167" uniqueCount="59">
  <si>
    <t>TABLE_NAME</t>
  </si>
  <si>
    <t>COLUMN_NAME</t>
  </si>
  <si>
    <t>COLUMN_TYPE</t>
  </si>
  <si>
    <t>VALUE_1</t>
  </si>
  <si>
    <t>VALUE_2</t>
  </si>
  <si>
    <t>VALUE_3</t>
  </si>
  <si>
    <t>VALUE_4</t>
  </si>
  <si>
    <t>SAMPLE_TABLE</t>
  </si>
  <si>
    <t>CUSTOMER_ID</t>
  </si>
  <si>
    <t>NUMBER</t>
  </si>
  <si>
    <t>DEPARTMENT_NAME</t>
  </si>
  <si>
    <t>VARCHAR2(250)</t>
  </si>
  <si>
    <t>HIRE_DATE</t>
  </si>
  <si>
    <t>DATE</t>
  </si>
  <si>
    <t>FORMULA</t>
  </si>
  <si>
    <t>CHAR(5)</t>
  </si>
  <si>
    <t>OTHER_FIELD</t>
  </si>
  <si>
    <t>OTHER TEXT 4</t>
  </si>
  <si>
    <t>OTHER TEXT 5</t>
  </si>
  <si>
    <t>OTHER TEXT 6</t>
  </si>
  <si>
    <t>OTHER TEXT 7</t>
  </si>
  <si>
    <t>OTHER TEXT 8</t>
  </si>
  <si>
    <t>OTHER TEXT 9</t>
  </si>
  <si>
    <t>OTHER TEXT 10</t>
  </si>
  <si>
    <t>OTHER TEXT 11</t>
  </si>
  <si>
    <t>OTHER TEXT 12</t>
  </si>
  <si>
    <t>OTHER TEXT 13</t>
  </si>
  <si>
    <t>OTHER TEXT 14</t>
  </si>
  <si>
    <t>OTHER TEXT 15</t>
  </si>
  <si>
    <t>OTHER TEXT 16</t>
  </si>
  <si>
    <t>OTHER TEXT 17</t>
  </si>
  <si>
    <t>OTHER TEXT 18</t>
  </si>
  <si>
    <t>OTHER TEXT 19</t>
  </si>
  <si>
    <t>OTHER TEXT 20</t>
  </si>
  <si>
    <t>OTHER TEXT 21</t>
  </si>
  <si>
    <t>OTHER TEXT 22</t>
  </si>
  <si>
    <t>OTHER TEXT 23</t>
  </si>
  <si>
    <t>DEPT. 4</t>
  </si>
  <si>
    <t>DEPT. 5</t>
  </si>
  <si>
    <t>DEPT. 6</t>
  </si>
  <si>
    <t>DEPT. 7</t>
  </si>
  <si>
    <t>DEPT. 8</t>
  </si>
  <si>
    <t>DEPT. 9</t>
  </si>
  <si>
    <t>DEPT. 10</t>
  </si>
  <si>
    <t>DEPT. 11</t>
  </si>
  <si>
    <t>DEPT. 12</t>
  </si>
  <si>
    <t>DEPT. 13</t>
  </si>
  <si>
    <t>DEPT. 14</t>
  </si>
  <si>
    <t>DEPT. 15</t>
  </si>
  <si>
    <t>DEPT. 16</t>
  </si>
  <si>
    <t>DEPT. 17</t>
  </si>
  <si>
    <t>DEPT. 18</t>
  </si>
  <si>
    <t>DEPT. 19</t>
  </si>
  <si>
    <t>DEPT. 20</t>
  </si>
  <si>
    <t>DEPT. 21</t>
  </si>
  <si>
    <t>DEPT. 22</t>
  </si>
  <si>
    <t>DEPT. 23</t>
  </si>
  <si>
    <t>SELECT FORMULA (DUAL)</t>
  </si>
  <si>
    <t>INSERT INTO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</si>
</sst>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horizontal="center"/>
    </xf>
    <xf numFmtId="0" fontId="1" fillId="0" borderId="0" xfId="0" applyFont="1" applyAlignment="1"/>
    <xf numFmtId="0" fontId="1" fillId="0" borderId="0" xfId="0" quotePrefix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33133</xdr:colOff>
      <xdr:row>0</xdr:row>
      <xdr:rowOff>140804</xdr:rowOff>
    </xdr:from>
    <xdr:to>
      <xdr:col>8</xdr:col>
      <xdr:colOff>1109871</xdr:colOff>
      <xdr:row>0</xdr:row>
      <xdr:rowOff>604630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F91B25F0-FFD5-4D03-273B-E7609165921C}"/>
            </a:ext>
          </a:extLst>
        </xdr:cNvPr>
        <xdr:cNvSpPr/>
      </xdr:nvSpPr>
      <xdr:spPr>
        <a:xfrm>
          <a:off x="6311350" y="140804"/>
          <a:ext cx="1076738" cy="463826"/>
        </a:xfrm>
        <a:prstGeom prst="borderCallout1">
          <a:avLst>
            <a:gd name="adj1" fmla="val 18750"/>
            <a:gd name="adj2" fmla="val -8333"/>
            <a:gd name="adj3" fmla="val 71076"/>
            <a:gd name="adj4" fmla="val -36783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Combining column names.</a:t>
          </a:r>
        </a:p>
      </xdr:txBody>
    </xdr:sp>
    <xdr:clientData/>
  </xdr:twoCellAnchor>
  <xdr:twoCellAnchor>
    <xdr:from>
      <xdr:col>0</xdr:col>
      <xdr:colOff>99391</xdr:colOff>
      <xdr:row>5</xdr:row>
      <xdr:rowOff>19876</xdr:rowOff>
    </xdr:from>
    <xdr:to>
      <xdr:col>2</xdr:col>
      <xdr:colOff>49695</xdr:colOff>
      <xdr:row>6</xdr:row>
      <xdr:rowOff>99391</xdr:rowOff>
    </xdr:to>
    <xdr:sp macro="" textlink="">
      <xdr:nvSpPr>
        <xdr:cNvPr id="4" name="Callout: Line 3">
          <a:extLst>
            <a:ext uri="{FF2B5EF4-FFF2-40B4-BE49-F238E27FC236}">
              <a16:creationId xmlns:a16="http://schemas.microsoft.com/office/drawing/2014/main" id="{392E4F91-2A1F-4EC0-9B8E-B927ABA33E39}"/>
            </a:ext>
          </a:extLst>
        </xdr:cNvPr>
        <xdr:cNvSpPr/>
      </xdr:nvSpPr>
      <xdr:spPr>
        <a:xfrm>
          <a:off x="99391" y="1403072"/>
          <a:ext cx="886239" cy="270015"/>
        </a:xfrm>
        <a:prstGeom prst="borderCallout1">
          <a:avLst>
            <a:gd name="adj1" fmla="val -10518"/>
            <a:gd name="adj2" fmla="val 55367"/>
            <a:gd name="adj3" fmla="val -223391"/>
            <a:gd name="adj4" fmla="val 31993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Table name</a:t>
          </a:r>
        </a:p>
      </xdr:txBody>
    </xdr:sp>
    <xdr:clientData/>
  </xdr:twoCellAnchor>
  <xdr:twoCellAnchor>
    <xdr:from>
      <xdr:col>0</xdr:col>
      <xdr:colOff>409164</xdr:colOff>
      <xdr:row>0</xdr:row>
      <xdr:rowOff>102703</xdr:rowOff>
    </xdr:from>
    <xdr:to>
      <xdr:col>2</xdr:col>
      <xdr:colOff>571501</xdr:colOff>
      <xdr:row>0</xdr:row>
      <xdr:rowOff>377023</xdr:rowOff>
    </xdr:to>
    <xdr:sp macro="" textlink="">
      <xdr:nvSpPr>
        <xdr:cNvPr id="5" name="Callout: Line 4">
          <a:extLst>
            <a:ext uri="{FF2B5EF4-FFF2-40B4-BE49-F238E27FC236}">
              <a16:creationId xmlns:a16="http://schemas.microsoft.com/office/drawing/2014/main" id="{D5777764-3451-4A5C-A5BF-EC27A8A9380C}"/>
            </a:ext>
          </a:extLst>
        </xdr:cNvPr>
        <xdr:cNvSpPr/>
      </xdr:nvSpPr>
      <xdr:spPr>
        <a:xfrm>
          <a:off x="409164" y="102703"/>
          <a:ext cx="1098272" cy="274320"/>
        </a:xfrm>
        <a:prstGeom prst="borderCallout1">
          <a:avLst>
            <a:gd name="adj1" fmla="val 58002"/>
            <a:gd name="adj2" fmla="val 96949"/>
            <a:gd name="adj3" fmla="val 38367"/>
            <a:gd name="adj4" fmla="val 148774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Column</a:t>
          </a:r>
          <a:r>
            <a:rPr lang="tr-TR" sz="1100" baseline="0"/>
            <a:t> names</a:t>
          </a:r>
          <a:endParaRPr lang="tr-TR" sz="1100"/>
        </a:p>
      </xdr:txBody>
    </xdr:sp>
    <xdr:clientData/>
  </xdr:twoCellAnchor>
  <xdr:twoCellAnchor>
    <xdr:from>
      <xdr:col>7</xdr:col>
      <xdr:colOff>281609</xdr:colOff>
      <xdr:row>1</xdr:row>
      <xdr:rowOff>132520</xdr:rowOff>
    </xdr:from>
    <xdr:to>
      <xdr:col>7</xdr:col>
      <xdr:colOff>1234108</xdr:colOff>
      <xdr:row>3</xdr:row>
      <xdr:rowOff>25840</xdr:rowOff>
    </xdr:to>
    <xdr:sp macro="" textlink="">
      <xdr:nvSpPr>
        <xdr:cNvPr id="6" name="Callout: Line 5">
          <a:extLst>
            <a:ext uri="{FF2B5EF4-FFF2-40B4-BE49-F238E27FC236}">
              <a16:creationId xmlns:a16="http://schemas.microsoft.com/office/drawing/2014/main" id="{D0D5F9DF-0A86-466C-A1F0-9BCF783EB96C}"/>
            </a:ext>
          </a:extLst>
        </xdr:cNvPr>
        <xdr:cNvSpPr/>
      </xdr:nvSpPr>
      <xdr:spPr>
        <a:xfrm>
          <a:off x="5292587" y="753716"/>
          <a:ext cx="952499" cy="274320"/>
        </a:xfrm>
        <a:prstGeom prst="borderCallout1">
          <a:avLst>
            <a:gd name="adj1" fmla="val 79137"/>
            <a:gd name="adj2" fmla="val -8632"/>
            <a:gd name="adj3" fmla="val -28059"/>
            <a:gd name="adj4" fmla="val -36971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Data</a:t>
          </a:r>
          <a:r>
            <a:rPr lang="tr-TR" sz="1100" baseline="0"/>
            <a:t> types</a:t>
          </a:r>
          <a:endParaRPr lang="tr-TR" sz="1100"/>
        </a:p>
      </xdr:txBody>
    </xdr:sp>
    <xdr:clientData/>
  </xdr:twoCellAnchor>
  <xdr:twoCellAnchor>
    <xdr:from>
      <xdr:col>7</xdr:col>
      <xdr:colOff>256760</xdr:colOff>
      <xdr:row>3</xdr:row>
      <xdr:rowOff>157370</xdr:rowOff>
    </xdr:from>
    <xdr:to>
      <xdr:col>7</xdr:col>
      <xdr:colOff>728869</xdr:colOff>
      <xdr:row>22</xdr:row>
      <xdr:rowOff>182218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601CBF5D-B551-8901-E5D0-95E4EAA37170}"/>
            </a:ext>
          </a:extLst>
        </xdr:cNvPr>
        <xdr:cNvSpPr/>
      </xdr:nvSpPr>
      <xdr:spPr>
        <a:xfrm>
          <a:off x="5267738" y="1159566"/>
          <a:ext cx="472109" cy="364434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r>
            <a:rPr lang="tr-TR" sz="1100" b="1">
              <a:solidFill>
                <a:schemeClr val="accent1"/>
              </a:solidFill>
            </a:rPr>
            <a:t>VALUES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99391</xdr:colOff>
      <xdr:row>5</xdr:row>
      <xdr:rowOff>19876</xdr:rowOff>
    </xdr:from>
    <xdr:to>
      <xdr:col>2</xdr:col>
      <xdr:colOff>49695</xdr:colOff>
      <xdr:row>6</xdr:row>
      <xdr:rowOff>99391</xdr:rowOff>
    </xdr:to>
    <xdr:sp macro="" textlink="">
      <xdr:nvSpPr>
        <xdr:cNvPr id="2" name="Callout: Line 1">
          <a:extLst>
            <a:ext uri="{FF2B5EF4-FFF2-40B4-BE49-F238E27FC236}">
              <a16:creationId xmlns:a16="http://schemas.microsoft.com/office/drawing/2014/main" id="{D52C5B5C-30CA-476D-9063-241BDB107A72}"/>
            </a:ext>
          </a:extLst>
        </xdr:cNvPr>
        <xdr:cNvSpPr/>
      </xdr:nvSpPr>
      <xdr:spPr>
        <a:xfrm>
          <a:off x="99391" y="1401001"/>
          <a:ext cx="883754" cy="270015"/>
        </a:xfrm>
        <a:prstGeom prst="borderCallout1">
          <a:avLst>
            <a:gd name="adj1" fmla="val -10518"/>
            <a:gd name="adj2" fmla="val 55367"/>
            <a:gd name="adj3" fmla="val -223391"/>
            <a:gd name="adj4" fmla="val 31993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Table name</a:t>
          </a:r>
        </a:p>
      </xdr:txBody>
    </xdr:sp>
    <xdr:clientData/>
  </xdr:twoCellAnchor>
  <xdr:twoCellAnchor>
    <xdr:from>
      <xdr:col>7</xdr:col>
      <xdr:colOff>149087</xdr:colOff>
      <xdr:row>0</xdr:row>
      <xdr:rowOff>41413</xdr:rowOff>
    </xdr:from>
    <xdr:to>
      <xdr:col>8</xdr:col>
      <xdr:colOff>704023</xdr:colOff>
      <xdr:row>1</xdr:row>
      <xdr:rowOff>0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807DBE6D-835A-463E-8594-50B76A1249F4}"/>
            </a:ext>
          </a:extLst>
        </xdr:cNvPr>
        <xdr:cNvSpPr/>
      </xdr:nvSpPr>
      <xdr:spPr>
        <a:xfrm>
          <a:off x="5160065" y="41413"/>
          <a:ext cx="1051893" cy="289891"/>
        </a:xfrm>
        <a:prstGeom prst="borderCallout1">
          <a:avLst>
            <a:gd name="adj1" fmla="val 39734"/>
            <a:gd name="adj2" fmla="val 2680"/>
            <a:gd name="adj3" fmla="val 71249"/>
            <a:gd name="adj4" fmla="val -43534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Column</a:t>
          </a:r>
          <a:r>
            <a:rPr lang="tr-TR" sz="1100" baseline="0"/>
            <a:t> names</a:t>
          </a:r>
          <a:endParaRPr lang="tr-TR" sz="1100"/>
        </a:p>
      </xdr:txBody>
    </xdr:sp>
    <xdr:clientData/>
  </xdr:twoCellAnchor>
  <xdr:twoCellAnchor>
    <xdr:from>
      <xdr:col>7</xdr:col>
      <xdr:colOff>273326</xdr:colOff>
      <xdr:row>1</xdr:row>
      <xdr:rowOff>140805</xdr:rowOff>
    </xdr:from>
    <xdr:to>
      <xdr:col>8</xdr:col>
      <xdr:colOff>621195</xdr:colOff>
      <xdr:row>3</xdr:row>
      <xdr:rowOff>34125</xdr:rowOff>
    </xdr:to>
    <xdr:sp macro="" textlink="">
      <xdr:nvSpPr>
        <xdr:cNvPr id="4" name="Callout: Line 3">
          <a:extLst>
            <a:ext uri="{FF2B5EF4-FFF2-40B4-BE49-F238E27FC236}">
              <a16:creationId xmlns:a16="http://schemas.microsoft.com/office/drawing/2014/main" id="{906A8865-C8A2-49AF-974F-D651AE239DA7}"/>
            </a:ext>
          </a:extLst>
        </xdr:cNvPr>
        <xdr:cNvSpPr/>
      </xdr:nvSpPr>
      <xdr:spPr>
        <a:xfrm>
          <a:off x="5284304" y="472109"/>
          <a:ext cx="844826" cy="274320"/>
        </a:xfrm>
        <a:prstGeom prst="borderCallout1">
          <a:avLst>
            <a:gd name="adj1" fmla="val 79137"/>
            <a:gd name="adj2" fmla="val -8632"/>
            <a:gd name="adj3" fmla="val -28059"/>
            <a:gd name="adj4" fmla="val -36971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Data</a:t>
          </a:r>
          <a:r>
            <a:rPr lang="tr-TR" sz="1100" baseline="0"/>
            <a:t> types</a:t>
          </a:r>
          <a:endParaRPr lang="tr-TR" sz="1100"/>
        </a:p>
      </xdr:txBody>
    </xdr:sp>
    <xdr:clientData/>
  </xdr:twoCellAnchor>
  <xdr:twoCellAnchor>
    <xdr:from>
      <xdr:col>7</xdr:col>
      <xdr:colOff>198783</xdr:colOff>
      <xdr:row>3</xdr:row>
      <xdr:rowOff>132522</xdr:rowOff>
    </xdr:from>
    <xdr:to>
      <xdr:col>8</xdr:col>
      <xdr:colOff>173935</xdr:colOff>
      <xdr:row>22</xdr:row>
      <xdr:rowOff>157370</xdr:rowOff>
    </xdr:to>
    <xdr:sp macro="" textlink="">
      <xdr:nvSpPr>
        <xdr:cNvPr id="5" name="Right Brace 4">
          <a:extLst>
            <a:ext uri="{FF2B5EF4-FFF2-40B4-BE49-F238E27FC236}">
              <a16:creationId xmlns:a16="http://schemas.microsoft.com/office/drawing/2014/main" id="{FCFD1004-50BA-4E38-8762-4FB36A030404}"/>
            </a:ext>
          </a:extLst>
        </xdr:cNvPr>
        <xdr:cNvSpPr/>
      </xdr:nvSpPr>
      <xdr:spPr>
        <a:xfrm>
          <a:off x="5209761" y="844826"/>
          <a:ext cx="472109" cy="364434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r>
            <a:rPr lang="tr-TR" sz="1100" b="1">
              <a:solidFill>
                <a:schemeClr val="accent1"/>
              </a:solidFill>
            </a:rPr>
            <a:t>VALUES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149087</xdr:colOff>
      <xdr:row>0</xdr:row>
      <xdr:rowOff>41413</xdr:rowOff>
    </xdr:from>
    <xdr:to>
      <xdr:col>9</xdr:col>
      <xdr:colOff>231913</xdr:colOff>
      <xdr:row>0</xdr:row>
      <xdr:rowOff>298175</xdr:rowOff>
    </xdr:to>
    <xdr:sp macro="" textlink="">
      <xdr:nvSpPr>
        <xdr:cNvPr id="6" name="Callout: Line 5">
          <a:extLst>
            <a:ext uri="{FF2B5EF4-FFF2-40B4-BE49-F238E27FC236}">
              <a16:creationId xmlns:a16="http://schemas.microsoft.com/office/drawing/2014/main" id="{AB7ED04D-C46C-4967-A731-64B2886A5E00}"/>
            </a:ext>
          </a:extLst>
        </xdr:cNvPr>
        <xdr:cNvSpPr/>
      </xdr:nvSpPr>
      <xdr:spPr>
        <a:xfrm>
          <a:off x="5160065" y="41413"/>
          <a:ext cx="1076739" cy="256762"/>
        </a:xfrm>
        <a:prstGeom prst="borderCallout1">
          <a:avLst>
            <a:gd name="adj1" fmla="val 39734"/>
            <a:gd name="adj2" fmla="val 2680"/>
            <a:gd name="adj3" fmla="val 71249"/>
            <a:gd name="adj4" fmla="val -43534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Column</a:t>
          </a:r>
          <a:r>
            <a:rPr lang="tr-TR" sz="1100" baseline="0"/>
            <a:t> names</a:t>
          </a:r>
          <a:endParaRPr lang="tr-TR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132522</xdr:colOff>
      <xdr:row>6</xdr:row>
      <xdr:rowOff>79515</xdr:rowOff>
    </xdr:to>
    <xdr:sp macro="" textlink="">
      <xdr:nvSpPr>
        <xdr:cNvPr id="8" name="Callout: Line 7">
          <a:extLst>
            <a:ext uri="{FF2B5EF4-FFF2-40B4-BE49-F238E27FC236}">
              <a16:creationId xmlns:a16="http://schemas.microsoft.com/office/drawing/2014/main" id="{880DF0CB-15F0-4270-ADD0-A11883D8524D}"/>
            </a:ext>
          </a:extLst>
        </xdr:cNvPr>
        <xdr:cNvSpPr/>
      </xdr:nvSpPr>
      <xdr:spPr>
        <a:xfrm>
          <a:off x="0" y="952500"/>
          <a:ext cx="886239" cy="270015"/>
        </a:xfrm>
        <a:prstGeom prst="borderCallout1">
          <a:avLst>
            <a:gd name="adj1" fmla="val -10518"/>
            <a:gd name="adj2" fmla="val 55367"/>
            <a:gd name="adj3" fmla="val -223391"/>
            <a:gd name="adj4" fmla="val 31993"/>
          </a:avLst>
        </a:prstGeom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1100"/>
            <a:t>Table name</a:t>
          </a:r>
        </a:p>
      </xdr:txBody>
    </xdr:sp>
    <xdr:clientData/>
  </xdr:twoCellAnchor>
  <xdr:twoCellAnchor>
    <xdr:from>
      <xdr:col>7</xdr:col>
      <xdr:colOff>140805</xdr:colOff>
      <xdr:row>2</xdr:row>
      <xdr:rowOff>24848</xdr:rowOff>
    </xdr:from>
    <xdr:to>
      <xdr:col>8</xdr:col>
      <xdr:colOff>124239</xdr:colOff>
      <xdr:row>21</xdr:row>
      <xdr:rowOff>132522</xdr:rowOff>
    </xdr:to>
    <xdr:sp macro="" textlink="">
      <xdr:nvSpPr>
        <xdr:cNvPr id="9" name="Right Brace 8">
          <a:extLst>
            <a:ext uri="{FF2B5EF4-FFF2-40B4-BE49-F238E27FC236}">
              <a16:creationId xmlns:a16="http://schemas.microsoft.com/office/drawing/2014/main" id="{ED2C5FDA-3F90-438B-A184-E2AD8ED03804}"/>
            </a:ext>
          </a:extLst>
        </xdr:cNvPr>
        <xdr:cNvSpPr/>
      </xdr:nvSpPr>
      <xdr:spPr>
        <a:xfrm>
          <a:off x="5151783" y="546652"/>
          <a:ext cx="480391" cy="3727174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endParaRPr lang="tr-TR" sz="1100"/>
        </a:p>
        <a:p>
          <a:pPr algn="l"/>
          <a:r>
            <a:rPr lang="tr-TR" sz="1100" b="1">
              <a:solidFill>
                <a:schemeClr val="accent1"/>
              </a:solidFill>
            </a:rPr>
            <a:t>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3"/>
  <sheetViews>
    <sheetView tabSelected="1" zoomScale="115" zoomScaleNormal="115" workbookViewId="0"/>
  </sheetViews>
  <sheetFormatPr defaultRowHeight="15" x14ac:dyDescent="0.25"/>
  <cols>
    <col min="1" max="1" width="11.28515625" style="1" customWidth="1"/>
    <col min="2" max="2" width="2.7109375" style="1" customWidth="1"/>
    <col min="3" max="3" width="12.7109375" style="1" bestFit="1" customWidth="1"/>
    <col min="4" max="4" width="11.7109375" style="1" bestFit="1" customWidth="1"/>
    <col min="5" max="5" width="16.42578125" style="1" bestFit="1" customWidth="1"/>
    <col min="6" max="6" width="9.28515625" style="1" bestFit="1" customWidth="1"/>
    <col min="7" max="7" width="11" style="1" bestFit="1" customWidth="1"/>
    <col min="8" max="8" width="19" style="1" customWidth="1"/>
    <col min="9" max="9" width="18.7109375" style="1" customWidth="1"/>
    <col min="10" max="12" width="9.140625" style="1" customWidth="1"/>
  </cols>
  <sheetData>
    <row r="1" spans="1:10" ht="48.75" x14ac:dyDescent="0.25">
      <c r="A1" s="3" t="s">
        <v>0</v>
      </c>
      <c r="C1" s="4" t="s">
        <v>1</v>
      </c>
      <c r="D1" s="9" t="s">
        <v>8</v>
      </c>
      <c r="E1" s="9" t="s">
        <v>10</v>
      </c>
      <c r="F1" s="9" t="s">
        <v>12</v>
      </c>
      <c r="G1" s="9" t="s">
        <v>16</v>
      </c>
      <c r="H1" s="8" t="str">
        <f>D1&amp;", "&amp;E1&amp;", "&amp;F1&amp;", "&amp;G1</f>
        <v>CUSTOMER_ID, DEPARTMENT_NAME, HIRE_DATE, OTHER_FIELD</v>
      </c>
    </row>
    <row r="2" spans="1:10" x14ac:dyDescent="0.25">
      <c r="A2" s="7" t="s">
        <v>7</v>
      </c>
      <c r="C2" s="4" t="s">
        <v>2</v>
      </c>
      <c r="D2" s="10" t="s">
        <v>9</v>
      </c>
      <c r="E2" s="10" t="s">
        <v>11</v>
      </c>
      <c r="F2" s="10" t="s">
        <v>13</v>
      </c>
      <c r="G2" s="10" t="s">
        <v>15</v>
      </c>
    </row>
    <row r="3" spans="1:10" x14ac:dyDescent="0.25">
      <c r="D3" s="4" t="s">
        <v>3</v>
      </c>
      <c r="E3" s="4" t="s">
        <v>4</v>
      </c>
      <c r="F3" s="4" t="s">
        <v>5</v>
      </c>
      <c r="G3" s="4" t="s">
        <v>6</v>
      </c>
      <c r="J3" s="4" t="s">
        <v>14</v>
      </c>
    </row>
    <row r="4" spans="1:10" x14ac:dyDescent="0.25">
      <c r="D4" s="2">
        <v>939</v>
      </c>
      <c r="E4" s="1" t="s">
        <v>37</v>
      </c>
      <c r="F4" s="6">
        <v>44227</v>
      </c>
      <c r="G4" s="2" t="s">
        <v>17</v>
      </c>
      <c r="H4" s="2"/>
      <c r="J4" s="1" t="str">
        <f>"INSERT INTO "&amp;$A$2&amp;" ("&amp;$H$1&amp;") VALUES (
"&amp;IF($D$2="NUMBER",D4,IF(OR(LEFT($D$2,8)="VARCHAR2",LEFT($D$2,4)="CHAR"),"'"&amp;D4&amp;"'",IF($D$2="DATE","TO_DATE('"&amp;TEXT(D4,"DDMMYYYY")&amp;",'DDMMYYYY')","")))&amp;", "
&amp;IF($E$2="NUMBER",E4,IF(OR(LEFT($E$2,8)="VARCHAR2",LEFT($E$2,4)="CHAR"),"'"&amp;E4&amp;"'",IF($E$2="DATE","TO_DATE('"&amp;TEXT(E4,"DDMMYYYY")&amp;",'DDMMYYYY')","")))&amp;", "
&amp;IF($F$2="NUMBER",F4,IF(OR(LEFT($F$2,8)="VARCHAR2",LEFT($F$2,4)="CHAR"),"'"&amp;F4&amp;"'",IF($F$2="DATE","TO_DATE('"&amp;TEXT(F4,"DDMMYYYY")&amp;",'DDMMYYYY')","")))&amp;", "
&amp;IF($G$2="NUMBER",G4,IF(OR(LEFT($G$2,8)="VARCHAR2",LEFT($G$2,4)="CHAR"),"'"&amp;G4&amp;"'",IF($G$2="DATE","TO_DATE('"&amp;TEXT(G4,"DDMMYYYY")&amp;",'DDMMYYYY')","")))&amp;");"</f>
        <v>INSERT INTO SAMPLE_TABLE (CUSTOMER_ID, DEPARTMENT_NAME, HIRE_DATE, OTHER_FIELD) VALUES (
939, 'DEPT. 4', TO_DATE('31012021,'DDMMYYYY'), 'OTHER TEXT 4');</v>
      </c>
    </row>
    <row r="5" spans="1:10" x14ac:dyDescent="0.25">
      <c r="D5" s="2">
        <v>470</v>
      </c>
      <c r="E5" s="1" t="s">
        <v>38</v>
      </c>
      <c r="F5" s="6">
        <v>44255</v>
      </c>
      <c r="G5" s="2" t="s">
        <v>18</v>
      </c>
      <c r="H5" s="2"/>
      <c r="J5" s="1" t="str">
        <f t="shared" ref="J5:J23" si="0">"INSERT INTO "&amp;$A$2&amp;" ("&amp;$H$1&amp;") VALUES (
"&amp;IF($D$2="NUMBER",D5,IF(OR(LEFT($D$2,8)="VARCHAR2",LEFT($D$2,4)="CHAR"),"'"&amp;D5&amp;"'",IF($D$2="DATE","TO_DATE('"&amp;TEXT(D5,"DDMMYYYY")&amp;",'DDMMYYYY')","")))&amp;", "
&amp;IF($E$2="NUMBER",E5,IF(OR(LEFT($E$2,8)="VARCHAR2",LEFT($E$2,4)="CHAR"),"'"&amp;E5&amp;"'",IF($E$2="DATE","TO_DATE('"&amp;TEXT(E5,"DDMMYYYY")&amp;",'DDMMYYYY')","")))&amp;", "
&amp;IF($F$2="NUMBER",F5,IF(OR(LEFT($F$2,8)="VARCHAR2",LEFT($F$2,4)="CHAR"),"'"&amp;F5&amp;"'",IF($F$2="DATE","TO_DATE('"&amp;TEXT(F5,"DDMMYYYY")&amp;",'DDMMYYYY')","")))&amp;", "
&amp;IF($G$2="NUMBER",G5,IF(OR(LEFT($G$2,8)="VARCHAR2",LEFT($G$2,4)="CHAR"),"'"&amp;G5&amp;"'",IF($G$2="DATE","TO_DATE('"&amp;TEXT(G5,"DDMMYYYY")&amp;",'DDMMYYYY')","")))&amp;");"</f>
        <v>INSERT INTO SAMPLE_TABLE (CUSTOMER_ID, DEPARTMENT_NAME, HIRE_DATE, OTHER_FIELD) VALUES (
470, 'DEPT. 5', TO_DATE('28022021,'DDMMYYYY'), 'OTHER TEXT 5');</v>
      </c>
    </row>
    <row r="6" spans="1:10" x14ac:dyDescent="0.25">
      <c r="A6"/>
      <c r="C6"/>
      <c r="D6" s="2">
        <v>830</v>
      </c>
      <c r="E6" s="1" t="s">
        <v>39</v>
      </c>
      <c r="F6" s="6">
        <v>44286</v>
      </c>
      <c r="G6" s="2" t="s">
        <v>19</v>
      </c>
      <c r="H6" s="2"/>
      <c r="J6" s="1" t="str">
        <f t="shared" si="0"/>
        <v>INSERT INTO SAMPLE_TABLE (CUSTOMER_ID, DEPARTMENT_NAME, HIRE_DATE, OTHER_FIELD) VALUES (
830, 'DEPT. 6', TO_DATE('31032021,'DDMMYYYY'), 'OTHER TEXT 6');</v>
      </c>
    </row>
    <row r="7" spans="1:10" x14ac:dyDescent="0.25">
      <c r="A7"/>
      <c r="C7"/>
      <c r="D7" s="2">
        <v>390</v>
      </c>
      <c r="E7" s="1" t="s">
        <v>40</v>
      </c>
      <c r="F7" s="6">
        <v>44316</v>
      </c>
      <c r="G7" s="2" t="s">
        <v>20</v>
      </c>
      <c r="H7" s="2"/>
      <c r="J7" s="1" t="str">
        <f t="shared" si="0"/>
        <v>INSERT INTO SAMPLE_TABLE (CUSTOMER_ID, DEPARTMENT_NAME, HIRE_DATE, OTHER_FIELD) VALUES (
390, 'DEPT. 7', TO_DATE('30042021,'DDMMYYYY'), 'OTHER TEXT 7');</v>
      </c>
    </row>
    <row r="8" spans="1:10" x14ac:dyDescent="0.25">
      <c r="A8"/>
      <c r="B8"/>
      <c r="C8"/>
      <c r="D8" s="2">
        <v>982</v>
      </c>
      <c r="E8" s="1" t="s">
        <v>41</v>
      </c>
      <c r="F8" s="6">
        <v>44347</v>
      </c>
      <c r="G8" s="2" t="s">
        <v>21</v>
      </c>
      <c r="H8" s="2"/>
      <c r="J8" s="1" t="str">
        <f t="shared" si="0"/>
        <v>INSERT INTO SAMPLE_TABLE (CUSTOMER_ID, DEPARTMENT_NAME, HIRE_DATE, OTHER_FIELD) VALUES (
982, 'DEPT. 8', TO_DATE('31052021,'DDMMYYYY'), 'OTHER TEXT 8');</v>
      </c>
    </row>
    <row r="9" spans="1:10" x14ac:dyDescent="0.25">
      <c r="A9"/>
      <c r="B9"/>
      <c r="C9"/>
      <c r="D9" s="2">
        <v>213</v>
      </c>
      <c r="E9" s="1" t="s">
        <v>42</v>
      </c>
      <c r="F9" s="6">
        <v>44377</v>
      </c>
      <c r="G9" s="2" t="s">
        <v>22</v>
      </c>
      <c r="H9" s="2"/>
      <c r="J9" s="1" t="str">
        <f t="shared" si="0"/>
        <v>INSERT INTO SAMPLE_TABLE (CUSTOMER_ID, DEPARTMENT_NAME, HIRE_DATE, OTHER_FIELD) VALUES (
213, 'DEPT. 9', TO_DATE('30062021,'DDMMYYYY'), 'OTHER TEXT 9');</v>
      </c>
    </row>
    <row r="10" spans="1:10" x14ac:dyDescent="0.25">
      <c r="A10"/>
      <c r="B10"/>
      <c r="C10"/>
      <c r="D10" s="2">
        <v>832</v>
      </c>
      <c r="E10" s="1" t="s">
        <v>43</v>
      </c>
      <c r="F10" s="6">
        <v>44408</v>
      </c>
      <c r="G10" s="2" t="s">
        <v>23</v>
      </c>
      <c r="H10" s="2"/>
      <c r="J10" s="1" t="str">
        <f t="shared" si="0"/>
        <v>INSERT INTO SAMPLE_TABLE (CUSTOMER_ID, DEPARTMENT_NAME, HIRE_DATE, OTHER_FIELD) VALUES (
832, 'DEPT. 10', TO_DATE('31072021,'DDMMYYYY'), 'OTHER TEXT 10');</v>
      </c>
    </row>
    <row r="11" spans="1:10" x14ac:dyDescent="0.25">
      <c r="A11"/>
      <c r="B11"/>
      <c r="C11"/>
      <c r="D11" s="2">
        <v>187</v>
      </c>
      <c r="E11" s="1" t="s">
        <v>44</v>
      </c>
      <c r="F11" s="6">
        <v>44439</v>
      </c>
      <c r="G11" s="2" t="s">
        <v>24</v>
      </c>
      <c r="H11" s="2"/>
      <c r="J11" s="1" t="str">
        <f t="shared" si="0"/>
        <v>INSERT INTO SAMPLE_TABLE (CUSTOMER_ID, DEPARTMENT_NAME, HIRE_DATE, OTHER_FIELD) VALUES (
187, 'DEPT. 11', TO_DATE('31082021,'DDMMYYYY'), 'OTHER TEXT 11');</v>
      </c>
    </row>
    <row r="12" spans="1:10" x14ac:dyDescent="0.25">
      <c r="A12"/>
      <c r="B12"/>
      <c r="C12"/>
      <c r="D12" s="2">
        <v>322</v>
      </c>
      <c r="E12" s="1" t="s">
        <v>45</v>
      </c>
      <c r="F12" s="6">
        <v>44469</v>
      </c>
      <c r="G12" s="2" t="s">
        <v>25</v>
      </c>
      <c r="H12" s="2"/>
      <c r="J12" s="1" t="str">
        <f t="shared" si="0"/>
        <v>INSERT INTO SAMPLE_TABLE (CUSTOMER_ID, DEPARTMENT_NAME, HIRE_DATE, OTHER_FIELD) VALUES (
322, 'DEPT. 12', TO_DATE('30092021,'DDMMYYYY'), 'OTHER TEXT 12');</v>
      </c>
    </row>
    <row r="13" spans="1:10" x14ac:dyDescent="0.25">
      <c r="A13"/>
      <c r="B13"/>
      <c r="C13"/>
      <c r="D13" s="2">
        <v>760</v>
      </c>
      <c r="E13" s="1" t="s">
        <v>46</v>
      </c>
      <c r="F13" s="6">
        <v>44500</v>
      </c>
      <c r="G13" s="2" t="s">
        <v>26</v>
      </c>
      <c r="H13" s="2"/>
      <c r="J13" s="1" t="str">
        <f t="shared" si="0"/>
        <v>INSERT INTO SAMPLE_TABLE (CUSTOMER_ID, DEPARTMENT_NAME, HIRE_DATE, OTHER_FIELD) VALUES (
760, 'DEPT. 13', TO_DATE('31102021,'DDMMYYYY'), 'OTHER TEXT 13');</v>
      </c>
    </row>
    <row r="14" spans="1:10" x14ac:dyDescent="0.25">
      <c r="A14"/>
      <c r="B14"/>
      <c r="C14"/>
      <c r="D14" s="2">
        <v>766</v>
      </c>
      <c r="E14" s="1" t="s">
        <v>47</v>
      </c>
      <c r="F14" s="6">
        <v>44530</v>
      </c>
      <c r="G14" s="2" t="s">
        <v>27</v>
      </c>
      <c r="H14" s="2"/>
      <c r="J14" s="1" t="str">
        <f t="shared" si="0"/>
        <v>INSERT INTO SAMPLE_TABLE (CUSTOMER_ID, DEPARTMENT_NAME, HIRE_DATE, OTHER_FIELD) VALUES (
766, 'DEPT. 14', TO_DATE('30112021,'DDMMYYYY'), 'OTHER TEXT 14');</v>
      </c>
    </row>
    <row r="15" spans="1:10" x14ac:dyDescent="0.25">
      <c r="A15"/>
      <c r="B15"/>
      <c r="C15"/>
      <c r="D15" s="2">
        <v>516</v>
      </c>
      <c r="E15" s="1" t="s">
        <v>48</v>
      </c>
      <c r="F15" s="6">
        <v>44561</v>
      </c>
      <c r="G15" s="2" t="s">
        <v>28</v>
      </c>
      <c r="H15" s="2"/>
      <c r="J15" s="1" t="str">
        <f t="shared" si="0"/>
        <v>INSERT INTO SAMPLE_TABLE (CUSTOMER_ID, DEPARTMENT_NAME, HIRE_DATE, OTHER_FIELD) VALUES (
516, 'DEPT. 15', TO_DATE('31122021,'DDMMYYYY'), 'OTHER TEXT 15');</v>
      </c>
    </row>
    <row r="16" spans="1:10" x14ac:dyDescent="0.25">
      <c r="A16"/>
      <c r="B16"/>
      <c r="C16"/>
      <c r="D16" s="2">
        <v>594</v>
      </c>
      <c r="E16" s="1" t="s">
        <v>49</v>
      </c>
      <c r="F16" s="6">
        <v>44592</v>
      </c>
      <c r="G16" s="2" t="s">
        <v>29</v>
      </c>
      <c r="H16" s="2"/>
      <c r="J16" s="1" t="str">
        <f t="shared" si="0"/>
        <v>INSERT INTO SAMPLE_TABLE (CUSTOMER_ID, DEPARTMENT_NAME, HIRE_DATE, OTHER_FIELD) VALUES (
594, 'DEPT. 16', TO_DATE('31012022,'DDMMYYYY'), 'OTHER TEXT 16');</v>
      </c>
    </row>
    <row r="17" spans="1:10" x14ac:dyDescent="0.25">
      <c r="A17"/>
      <c r="B17"/>
      <c r="C17"/>
      <c r="D17" s="2">
        <v>259</v>
      </c>
      <c r="E17" s="1" t="s">
        <v>50</v>
      </c>
      <c r="F17" s="6">
        <v>44620</v>
      </c>
      <c r="G17" s="2" t="s">
        <v>30</v>
      </c>
      <c r="H17" s="2"/>
      <c r="J17" s="1" t="str">
        <f t="shared" si="0"/>
        <v>INSERT INTO SAMPLE_TABLE (CUSTOMER_ID, DEPARTMENT_NAME, HIRE_DATE, OTHER_FIELD) VALUES (
259, 'DEPT. 17', TO_DATE('28022022,'DDMMYYYY'), 'OTHER TEXT 17');</v>
      </c>
    </row>
    <row r="18" spans="1:10" x14ac:dyDescent="0.25">
      <c r="A18"/>
      <c r="B18"/>
      <c r="C18"/>
      <c r="D18" s="2">
        <v>572</v>
      </c>
      <c r="E18" s="1" t="s">
        <v>51</v>
      </c>
      <c r="F18" s="6">
        <v>44651</v>
      </c>
      <c r="G18" s="2" t="s">
        <v>31</v>
      </c>
      <c r="H18" s="2"/>
      <c r="J18" s="1" t="str">
        <f t="shared" si="0"/>
        <v>INSERT INTO SAMPLE_TABLE (CUSTOMER_ID, DEPARTMENT_NAME, HIRE_DATE, OTHER_FIELD) VALUES (
572, 'DEPT. 18', TO_DATE('31032022,'DDMMYYYY'), 'OTHER TEXT 18');</v>
      </c>
    </row>
    <row r="19" spans="1:10" x14ac:dyDescent="0.25">
      <c r="A19"/>
      <c r="B19"/>
      <c r="C19"/>
      <c r="D19" s="2">
        <v>623</v>
      </c>
      <c r="E19" s="1" t="s">
        <v>52</v>
      </c>
      <c r="F19" s="6">
        <v>44681</v>
      </c>
      <c r="G19" s="2" t="s">
        <v>32</v>
      </c>
      <c r="H19" s="2"/>
      <c r="J19" s="1" t="str">
        <f t="shared" si="0"/>
        <v>INSERT INTO SAMPLE_TABLE (CUSTOMER_ID, DEPARTMENT_NAME, HIRE_DATE, OTHER_FIELD) VALUES (
623, 'DEPT. 19', TO_DATE('30042022,'DDMMYYYY'), 'OTHER TEXT 19');</v>
      </c>
    </row>
    <row r="20" spans="1:10" x14ac:dyDescent="0.25">
      <c r="A20"/>
      <c r="B20"/>
      <c r="C20"/>
      <c r="D20" s="2">
        <v>824</v>
      </c>
      <c r="E20" s="1" t="s">
        <v>53</v>
      </c>
      <c r="F20" s="6">
        <v>44712</v>
      </c>
      <c r="G20" s="2" t="s">
        <v>33</v>
      </c>
      <c r="H20" s="2"/>
      <c r="J20" s="1" t="str">
        <f t="shared" si="0"/>
        <v>INSERT INTO SAMPLE_TABLE (CUSTOMER_ID, DEPARTMENT_NAME, HIRE_DATE, OTHER_FIELD) VALUES (
824, 'DEPT. 20', TO_DATE('31052022,'DDMMYYYY'), 'OTHER TEXT 20');</v>
      </c>
    </row>
    <row r="21" spans="1:10" x14ac:dyDescent="0.25">
      <c r="A21"/>
      <c r="B21"/>
      <c r="C21"/>
      <c r="D21" s="2">
        <v>749</v>
      </c>
      <c r="E21" s="1" t="s">
        <v>54</v>
      </c>
      <c r="F21" s="6">
        <v>44742</v>
      </c>
      <c r="G21" s="2" t="s">
        <v>34</v>
      </c>
      <c r="H21" s="2"/>
      <c r="J21" s="1" t="str">
        <f t="shared" si="0"/>
        <v>INSERT INTO SAMPLE_TABLE (CUSTOMER_ID, DEPARTMENT_NAME, HIRE_DATE, OTHER_FIELD) VALUES (
749, 'DEPT. 21', TO_DATE('30062022,'DDMMYYYY'), 'OTHER TEXT 21');</v>
      </c>
    </row>
    <row r="22" spans="1:10" x14ac:dyDescent="0.25">
      <c r="A22"/>
      <c r="B22"/>
      <c r="C22"/>
      <c r="D22" s="2">
        <v>165</v>
      </c>
      <c r="E22" s="1" t="s">
        <v>55</v>
      </c>
      <c r="F22" s="6">
        <v>44773</v>
      </c>
      <c r="G22" s="2" t="s">
        <v>35</v>
      </c>
      <c r="H22" s="2"/>
      <c r="J22" s="1" t="str">
        <f t="shared" si="0"/>
        <v>INSERT INTO SAMPLE_TABLE (CUSTOMER_ID, DEPARTMENT_NAME, HIRE_DATE, OTHER_FIELD) VALUES (
165, 'DEPT. 22', TO_DATE('31072022,'DDMMYYYY'), 'OTHER TEXT 22');</v>
      </c>
    </row>
    <row r="23" spans="1:10" x14ac:dyDescent="0.25">
      <c r="A23"/>
      <c r="B23"/>
      <c r="C23"/>
      <c r="D23" s="2">
        <v>760</v>
      </c>
      <c r="E23" s="1" t="s">
        <v>56</v>
      </c>
      <c r="F23" s="6">
        <v>44804</v>
      </c>
      <c r="G23" s="2" t="s">
        <v>36</v>
      </c>
      <c r="H23" s="2"/>
      <c r="J23" s="1" t="str">
        <f t="shared" si="0"/>
        <v>INSERT INTO SAMPLE_TABLE (CUSTOMER_ID, DEPARTMENT_NAME, HIRE_DATE, OTHER_FIELD) VALUES (
760, 'DEPT. 23', TO_DATE('31082022,'DDMMYYYY'), 'OTHER TEXT 23');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73572-AA8A-424B-8B40-1CA34196994F}">
  <sheetPr codeName="Sheet2"/>
  <dimension ref="A1:M23"/>
  <sheetViews>
    <sheetView zoomScale="115" zoomScaleNormal="115" workbookViewId="0">
      <selection activeCell="A2" sqref="A2:A8"/>
    </sheetView>
  </sheetViews>
  <sheetFormatPr defaultRowHeight="15" x14ac:dyDescent="0.25"/>
  <cols>
    <col min="1" max="1" width="11.28515625" style="1" customWidth="1"/>
    <col min="2" max="2" width="2.7109375" style="1" customWidth="1"/>
    <col min="3" max="3" width="12.7109375" style="1" bestFit="1" customWidth="1"/>
    <col min="4" max="4" width="11.7109375" style="1" bestFit="1" customWidth="1"/>
    <col min="5" max="5" width="16.42578125" style="1" bestFit="1" customWidth="1"/>
    <col min="6" max="6" width="9.28515625" style="1" bestFit="1" customWidth="1"/>
    <col min="7" max="7" width="11" style="1" bestFit="1" customWidth="1"/>
    <col min="8" max="8" width="7.42578125" style="1" customWidth="1"/>
    <col min="9" max="9" width="11.140625" style="1" customWidth="1"/>
    <col min="10" max="10" width="33.28515625" style="1" customWidth="1"/>
    <col min="11" max="13" width="9.140625" style="1" customWidth="1"/>
  </cols>
  <sheetData>
    <row r="1" spans="1:10" ht="26.25" customHeight="1" x14ac:dyDescent="0.25">
      <c r="A1" s="3" t="s">
        <v>0</v>
      </c>
      <c r="C1" s="4" t="s">
        <v>1</v>
      </c>
      <c r="D1" s="9" t="s">
        <v>8</v>
      </c>
      <c r="E1" s="9" t="s">
        <v>10</v>
      </c>
      <c r="F1" s="9" t="s">
        <v>12</v>
      </c>
      <c r="G1" s="9" t="s">
        <v>16</v>
      </c>
    </row>
    <row r="2" spans="1:10" x14ac:dyDescent="0.25">
      <c r="A2" s="7" t="s">
        <v>7</v>
      </c>
      <c r="C2" s="4" t="s">
        <v>2</v>
      </c>
      <c r="D2" s="10" t="s">
        <v>9</v>
      </c>
      <c r="E2" s="10" t="s">
        <v>11</v>
      </c>
      <c r="F2" s="10" t="s">
        <v>13</v>
      </c>
      <c r="G2" s="10" t="s">
        <v>15</v>
      </c>
    </row>
    <row r="3" spans="1:10" x14ac:dyDescent="0.25">
      <c r="D3" s="4" t="s">
        <v>3</v>
      </c>
      <c r="E3" s="4" t="s">
        <v>4</v>
      </c>
      <c r="F3" s="4" t="s">
        <v>5</v>
      </c>
      <c r="G3" s="4" t="s">
        <v>6</v>
      </c>
      <c r="J3" s="4" t="s">
        <v>14</v>
      </c>
    </row>
    <row r="4" spans="1:10" x14ac:dyDescent="0.25">
      <c r="D4" s="2">
        <v>939</v>
      </c>
      <c r="E4" s="1" t="s">
        <v>37</v>
      </c>
      <c r="F4" s="6">
        <v>44227</v>
      </c>
      <c r="G4" s="2" t="s">
        <v>17</v>
      </c>
      <c r="H4" s="2"/>
      <c r="I4" s="2"/>
      <c r="J4" s="1" t="str">
        <f t="shared" ref="J4:J23" si="0">"SELECT 
"&amp;IF($D$2="NUMBER",D4,IF(OR(LEFT($D$2,8)="VARCHAR2",LEFT($D$2,4)="CHAR"),"'"&amp;D4&amp;"'",IF($D$2="DATE","TO_DATE('"&amp;TEXT(D4,"DDMMYYYY")&amp;",'DDMMYYYY')","")))&amp;" AS "&amp;$D$1&amp;", "
&amp;IF($E$2="NUMBER",E4,IF(OR(LEFT($E$2,8)="VARCHAR2",LEFT($E$2,4)="CHAR"),"'"&amp;E4&amp;"'",IF($E$2="DATE","TO_DATE('"&amp;TEXT(E4,"DDMMYYYY")&amp;",'DDMMYYYY')","")))&amp;" AS "&amp;$E$1&amp;", "
&amp;IF($F$2="NUMBER",F4,IF(OR(LEFT($F$2,8)="VARCHAR2",LEFT($F$2,4)="CHAR"),"'"&amp;F4&amp;"'",IF($F$2="DATE","TO_DATE('"&amp;TEXT(F4,"DDMMYYYY")&amp;",'DDMMYYYY')","")))&amp;" AS "&amp;$F$1&amp;", "
&amp;IF($G$2="NUMBER",G4,IF(OR(LEFT($G$2,8)="VARCHAR2",LEFT($G$2,4)="CHAR"),"'"&amp;G4&amp;"'",IF($G$2="DATE","TO_DATE('"&amp;TEXT(G4,"DDMMYYYY")&amp;",'DDMMYYYY')","")))&amp;" AS "&amp;$G$1&amp;" FROM DUAL UNION ALL"</f>
        <v>SELECT 
939 AS CUSTOMER_ID, 'DEPT. 4' AS DEPARTMENT_NAME, TO_DATE('31012021,'DDMMYYYY') AS HIRE_DATE, 'OTHER TEXT 4' AS OTHER_FIELD FROM DUAL UNION ALL</v>
      </c>
    </row>
    <row r="5" spans="1:10" x14ac:dyDescent="0.25">
      <c r="D5" s="2">
        <v>470</v>
      </c>
      <c r="E5" s="1" t="s">
        <v>38</v>
      </c>
      <c r="F5" s="6">
        <v>44255</v>
      </c>
      <c r="G5" s="2" t="s">
        <v>18</v>
      </c>
      <c r="H5" s="2"/>
      <c r="I5" s="2"/>
      <c r="J5" s="1" t="str">
        <f t="shared" si="0"/>
        <v>SELECT 
470 AS CUSTOMER_ID, 'DEPT. 5' AS DEPARTMENT_NAME, TO_DATE('28022021,'DDMMYYYY') AS HIRE_DATE, 'OTHER TEXT 5' AS OTHER_FIELD FROM DUAL UNION ALL</v>
      </c>
    </row>
    <row r="6" spans="1:10" x14ac:dyDescent="0.25">
      <c r="A6"/>
      <c r="C6"/>
      <c r="D6" s="2">
        <v>830</v>
      </c>
      <c r="E6" s="1" t="s">
        <v>39</v>
      </c>
      <c r="F6" s="6">
        <v>44286</v>
      </c>
      <c r="G6" s="2" t="s">
        <v>19</v>
      </c>
      <c r="H6" s="2"/>
      <c r="I6" s="2"/>
      <c r="J6" s="1" t="str">
        <f t="shared" si="0"/>
        <v>SELECT 
830 AS CUSTOMER_ID, 'DEPT. 6' AS DEPARTMENT_NAME, TO_DATE('31032021,'DDMMYYYY') AS HIRE_DATE, 'OTHER TEXT 6' AS OTHER_FIELD FROM DUAL UNION ALL</v>
      </c>
    </row>
    <row r="7" spans="1:10" x14ac:dyDescent="0.25">
      <c r="A7"/>
      <c r="C7"/>
      <c r="D7" s="2">
        <v>390</v>
      </c>
      <c r="E7" s="1" t="s">
        <v>40</v>
      </c>
      <c r="F7" s="6">
        <v>44316</v>
      </c>
      <c r="G7" s="2" t="s">
        <v>20</v>
      </c>
      <c r="H7" s="2"/>
      <c r="I7" s="2"/>
      <c r="J7" s="1" t="str">
        <f t="shared" si="0"/>
        <v>SELECT 
390 AS CUSTOMER_ID, 'DEPT. 7' AS DEPARTMENT_NAME, TO_DATE('30042021,'DDMMYYYY') AS HIRE_DATE, 'OTHER TEXT 7' AS OTHER_FIELD FROM DUAL UNION ALL</v>
      </c>
    </row>
    <row r="8" spans="1:10" x14ac:dyDescent="0.25">
      <c r="A8"/>
      <c r="B8"/>
      <c r="C8"/>
      <c r="D8" s="2">
        <v>982</v>
      </c>
      <c r="E8" s="1" t="s">
        <v>41</v>
      </c>
      <c r="F8" s="6">
        <v>44347</v>
      </c>
      <c r="G8" s="2" t="s">
        <v>21</v>
      </c>
      <c r="H8" s="2"/>
      <c r="I8" s="2"/>
      <c r="J8" s="1" t="str">
        <f t="shared" si="0"/>
        <v>SELECT 
982 AS CUSTOMER_ID, 'DEPT. 8' AS DEPARTMENT_NAME, TO_DATE('31052021,'DDMMYYYY') AS HIRE_DATE, 'OTHER TEXT 8' AS OTHER_FIELD FROM DUAL UNION ALL</v>
      </c>
    </row>
    <row r="9" spans="1:10" x14ac:dyDescent="0.25">
      <c r="A9"/>
      <c r="B9"/>
      <c r="C9"/>
      <c r="D9" s="2">
        <v>213</v>
      </c>
      <c r="E9" s="1" t="s">
        <v>42</v>
      </c>
      <c r="F9" s="6">
        <v>44377</v>
      </c>
      <c r="G9" s="2" t="s">
        <v>22</v>
      </c>
      <c r="H9" s="2"/>
      <c r="I9" s="2"/>
      <c r="J9" s="1" t="str">
        <f t="shared" si="0"/>
        <v>SELECT 
213 AS CUSTOMER_ID, 'DEPT. 9' AS DEPARTMENT_NAME, TO_DATE('30062021,'DDMMYYYY') AS HIRE_DATE, 'OTHER TEXT 9' AS OTHER_FIELD FROM DUAL UNION ALL</v>
      </c>
    </row>
    <row r="10" spans="1:10" x14ac:dyDescent="0.25">
      <c r="A10"/>
      <c r="B10"/>
      <c r="C10"/>
      <c r="D10" s="2">
        <v>832</v>
      </c>
      <c r="E10" s="1" t="s">
        <v>43</v>
      </c>
      <c r="F10" s="6">
        <v>44408</v>
      </c>
      <c r="G10" s="2" t="s">
        <v>23</v>
      </c>
      <c r="H10" s="2"/>
      <c r="I10" s="2"/>
      <c r="J10" s="1" t="str">
        <f t="shared" si="0"/>
        <v>SELECT 
832 AS CUSTOMER_ID, 'DEPT. 10' AS DEPARTMENT_NAME, TO_DATE('31072021,'DDMMYYYY') AS HIRE_DATE, 'OTHER TEXT 10' AS OTHER_FIELD FROM DUAL UNION ALL</v>
      </c>
    </row>
    <row r="11" spans="1:10" x14ac:dyDescent="0.25">
      <c r="A11"/>
      <c r="B11"/>
      <c r="C11"/>
      <c r="D11" s="2">
        <v>187</v>
      </c>
      <c r="E11" s="1" t="s">
        <v>44</v>
      </c>
      <c r="F11" s="6">
        <v>44439</v>
      </c>
      <c r="G11" s="2" t="s">
        <v>24</v>
      </c>
      <c r="H11" s="2"/>
      <c r="I11" s="2"/>
      <c r="J11" s="1" t="str">
        <f t="shared" si="0"/>
        <v>SELECT 
187 AS CUSTOMER_ID, 'DEPT. 11' AS DEPARTMENT_NAME, TO_DATE('31082021,'DDMMYYYY') AS HIRE_DATE, 'OTHER TEXT 11' AS OTHER_FIELD FROM DUAL UNION ALL</v>
      </c>
    </row>
    <row r="12" spans="1:10" x14ac:dyDescent="0.25">
      <c r="A12"/>
      <c r="B12"/>
      <c r="C12"/>
      <c r="D12" s="2">
        <v>322</v>
      </c>
      <c r="E12" s="1" t="s">
        <v>45</v>
      </c>
      <c r="F12" s="6">
        <v>44469</v>
      </c>
      <c r="G12" s="2" t="s">
        <v>25</v>
      </c>
      <c r="H12" s="2"/>
      <c r="I12" s="2"/>
      <c r="J12" s="1" t="str">
        <f t="shared" si="0"/>
        <v>SELECT 
322 AS CUSTOMER_ID, 'DEPT. 12' AS DEPARTMENT_NAME, TO_DATE('30092021,'DDMMYYYY') AS HIRE_DATE, 'OTHER TEXT 12' AS OTHER_FIELD FROM DUAL UNION ALL</v>
      </c>
    </row>
    <row r="13" spans="1:10" x14ac:dyDescent="0.25">
      <c r="A13"/>
      <c r="B13"/>
      <c r="C13"/>
      <c r="D13" s="2">
        <v>760</v>
      </c>
      <c r="E13" s="1" t="s">
        <v>46</v>
      </c>
      <c r="F13" s="6">
        <v>44500</v>
      </c>
      <c r="G13" s="2" t="s">
        <v>26</v>
      </c>
      <c r="H13" s="2"/>
      <c r="I13" s="2"/>
      <c r="J13" s="1" t="str">
        <f t="shared" si="0"/>
        <v>SELECT 
760 AS CUSTOMER_ID, 'DEPT. 13' AS DEPARTMENT_NAME, TO_DATE('31102021,'DDMMYYYY') AS HIRE_DATE, 'OTHER TEXT 13' AS OTHER_FIELD FROM DUAL UNION ALL</v>
      </c>
    </row>
    <row r="14" spans="1:10" x14ac:dyDescent="0.25">
      <c r="A14"/>
      <c r="B14"/>
      <c r="C14"/>
      <c r="D14" s="2">
        <v>766</v>
      </c>
      <c r="E14" s="1" t="s">
        <v>47</v>
      </c>
      <c r="F14" s="6">
        <v>44530</v>
      </c>
      <c r="G14" s="2" t="s">
        <v>27</v>
      </c>
      <c r="H14" s="2"/>
      <c r="I14" s="2"/>
      <c r="J14" s="1" t="str">
        <f t="shared" si="0"/>
        <v>SELECT 
766 AS CUSTOMER_ID, 'DEPT. 14' AS DEPARTMENT_NAME, TO_DATE('30112021,'DDMMYYYY') AS HIRE_DATE, 'OTHER TEXT 14' AS OTHER_FIELD FROM DUAL UNION ALL</v>
      </c>
    </row>
    <row r="15" spans="1:10" x14ac:dyDescent="0.25">
      <c r="A15"/>
      <c r="B15"/>
      <c r="C15"/>
      <c r="D15" s="2">
        <v>516</v>
      </c>
      <c r="E15" s="1" t="s">
        <v>48</v>
      </c>
      <c r="F15" s="6">
        <v>44561</v>
      </c>
      <c r="G15" s="2" t="s">
        <v>28</v>
      </c>
      <c r="H15" s="2"/>
      <c r="I15" s="2"/>
      <c r="J15" s="1" t="str">
        <f t="shared" si="0"/>
        <v>SELECT 
516 AS CUSTOMER_ID, 'DEPT. 15' AS DEPARTMENT_NAME, TO_DATE('31122021,'DDMMYYYY') AS HIRE_DATE, 'OTHER TEXT 15' AS OTHER_FIELD FROM DUAL UNION ALL</v>
      </c>
    </row>
    <row r="16" spans="1:10" x14ac:dyDescent="0.25">
      <c r="A16"/>
      <c r="B16"/>
      <c r="C16"/>
      <c r="D16" s="2">
        <v>594</v>
      </c>
      <c r="E16" s="1" t="s">
        <v>49</v>
      </c>
      <c r="F16" s="6">
        <v>44592</v>
      </c>
      <c r="G16" s="2" t="s">
        <v>29</v>
      </c>
      <c r="H16" s="2"/>
      <c r="I16" s="2"/>
      <c r="J16" s="1" t="str">
        <f t="shared" si="0"/>
        <v>SELECT 
594 AS CUSTOMER_ID, 'DEPT. 16' AS DEPARTMENT_NAME, TO_DATE('31012022,'DDMMYYYY') AS HIRE_DATE, 'OTHER TEXT 16' AS OTHER_FIELD FROM DUAL UNION ALL</v>
      </c>
    </row>
    <row r="17" spans="1:10" x14ac:dyDescent="0.25">
      <c r="A17"/>
      <c r="B17"/>
      <c r="C17"/>
      <c r="D17" s="2">
        <v>259</v>
      </c>
      <c r="E17" s="1" t="s">
        <v>50</v>
      </c>
      <c r="F17" s="6">
        <v>44620</v>
      </c>
      <c r="G17" s="2" t="s">
        <v>30</v>
      </c>
      <c r="H17" s="2"/>
      <c r="I17" s="2"/>
      <c r="J17" s="1" t="str">
        <f t="shared" si="0"/>
        <v>SELECT 
259 AS CUSTOMER_ID, 'DEPT. 17' AS DEPARTMENT_NAME, TO_DATE('28022022,'DDMMYYYY') AS HIRE_DATE, 'OTHER TEXT 17' AS OTHER_FIELD FROM DUAL UNION ALL</v>
      </c>
    </row>
    <row r="18" spans="1:10" x14ac:dyDescent="0.25">
      <c r="A18"/>
      <c r="B18"/>
      <c r="C18"/>
      <c r="D18" s="2">
        <v>572</v>
      </c>
      <c r="E18" s="1" t="s">
        <v>51</v>
      </c>
      <c r="F18" s="6">
        <v>44651</v>
      </c>
      <c r="G18" s="2" t="s">
        <v>31</v>
      </c>
      <c r="H18" s="2"/>
      <c r="I18" s="2"/>
      <c r="J18" s="1" t="str">
        <f t="shared" si="0"/>
        <v>SELECT 
572 AS CUSTOMER_ID, 'DEPT. 18' AS DEPARTMENT_NAME, TO_DATE('31032022,'DDMMYYYY') AS HIRE_DATE, 'OTHER TEXT 18' AS OTHER_FIELD FROM DUAL UNION ALL</v>
      </c>
    </row>
    <row r="19" spans="1:10" x14ac:dyDescent="0.25">
      <c r="A19"/>
      <c r="B19"/>
      <c r="C19"/>
      <c r="D19" s="2">
        <v>623</v>
      </c>
      <c r="E19" s="1" t="s">
        <v>52</v>
      </c>
      <c r="F19" s="6">
        <v>44681</v>
      </c>
      <c r="G19" s="2" t="s">
        <v>32</v>
      </c>
      <c r="H19" s="2"/>
      <c r="I19" s="2"/>
      <c r="J19" s="1" t="str">
        <f t="shared" si="0"/>
        <v>SELECT 
623 AS CUSTOMER_ID, 'DEPT. 19' AS DEPARTMENT_NAME, TO_DATE('30042022,'DDMMYYYY') AS HIRE_DATE, 'OTHER TEXT 19' AS OTHER_FIELD FROM DUAL UNION ALL</v>
      </c>
    </row>
    <row r="20" spans="1:10" x14ac:dyDescent="0.25">
      <c r="A20"/>
      <c r="B20"/>
      <c r="C20"/>
      <c r="D20" s="2">
        <v>824</v>
      </c>
      <c r="E20" s="1" t="s">
        <v>53</v>
      </c>
      <c r="F20" s="6">
        <v>44712</v>
      </c>
      <c r="G20" s="2" t="s">
        <v>33</v>
      </c>
      <c r="H20" s="2"/>
      <c r="I20" s="2"/>
      <c r="J20" s="1" t="str">
        <f t="shared" si="0"/>
        <v>SELECT 
824 AS CUSTOMER_ID, 'DEPT. 20' AS DEPARTMENT_NAME, TO_DATE('31052022,'DDMMYYYY') AS HIRE_DATE, 'OTHER TEXT 20' AS OTHER_FIELD FROM DUAL UNION ALL</v>
      </c>
    </row>
    <row r="21" spans="1:10" x14ac:dyDescent="0.25">
      <c r="A21"/>
      <c r="B21"/>
      <c r="C21"/>
      <c r="D21" s="2">
        <v>749</v>
      </c>
      <c r="E21" s="1" t="s">
        <v>54</v>
      </c>
      <c r="F21" s="6">
        <v>44742</v>
      </c>
      <c r="G21" s="2" t="s">
        <v>34</v>
      </c>
      <c r="H21" s="2"/>
      <c r="I21" s="2"/>
      <c r="J21" s="1" t="str">
        <f t="shared" si="0"/>
        <v>SELECT 
749 AS CUSTOMER_ID, 'DEPT. 21' AS DEPARTMENT_NAME, TO_DATE('30062022,'DDMMYYYY') AS HIRE_DATE, 'OTHER TEXT 21' AS OTHER_FIELD FROM DUAL UNION ALL</v>
      </c>
    </row>
    <row r="22" spans="1:10" x14ac:dyDescent="0.25">
      <c r="A22"/>
      <c r="B22"/>
      <c r="C22"/>
      <c r="D22" s="2">
        <v>165</v>
      </c>
      <c r="E22" s="1" t="s">
        <v>55</v>
      </c>
      <c r="F22" s="6">
        <v>44773</v>
      </c>
      <c r="G22" s="2" t="s">
        <v>35</v>
      </c>
      <c r="H22" s="2"/>
      <c r="I22" s="2"/>
      <c r="J22" s="1" t="str">
        <f t="shared" si="0"/>
        <v>SELECT 
165 AS CUSTOMER_ID, 'DEPT. 22' AS DEPARTMENT_NAME, TO_DATE('31072022,'DDMMYYYY') AS HIRE_DATE, 'OTHER TEXT 22' AS OTHER_FIELD FROM DUAL UNION ALL</v>
      </c>
    </row>
    <row r="23" spans="1:10" x14ac:dyDescent="0.25">
      <c r="A23"/>
      <c r="B23"/>
      <c r="C23"/>
      <c r="D23" s="2">
        <v>760</v>
      </c>
      <c r="E23" s="1" t="s">
        <v>56</v>
      </c>
      <c r="F23" s="6">
        <v>44804</v>
      </c>
      <c r="G23" s="2" t="s">
        <v>36</v>
      </c>
      <c r="H23" s="2"/>
      <c r="I23" s="2"/>
      <c r="J23" s="1" t="str">
        <f t="shared" si="0"/>
        <v>SELECT 
760 AS CUSTOMER_ID, 'DEPT. 23' AS DEPARTMENT_NAME, TO_DATE('31082022,'DDMMYYYY') AS HIRE_DATE, 'OTHER TEXT 23' AS OTHER_FIELD FROM DUAL UNION ALL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2305D-0541-4CD5-9F78-6C81D10C80FA}">
  <sheetPr codeName="Sheet3"/>
  <dimension ref="A1:M23"/>
  <sheetViews>
    <sheetView zoomScale="115" zoomScaleNormal="115" workbookViewId="0">
      <selection activeCell="H25" sqref="H25"/>
    </sheetView>
  </sheetViews>
  <sheetFormatPr defaultRowHeight="15" x14ac:dyDescent="0.25"/>
  <cols>
    <col min="1" max="1" width="11.28515625" style="1" customWidth="1"/>
    <col min="2" max="2" width="2.7109375" style="2" customWidth="1"/>
    <col min="3" max="3" width="12.7109375" style="1" bestFit="1" customWidth="1"/>
    <col min="4" max="4" width="11.7109375" style="1" bestFit="1" customWidth="1"/>
    <col min="5" max="5" width="16.42578125" style="1" bestFit="1" customWidth="1"/>
    <col min="6" max="6" width="9.28515625" style="1" bestFit="1" customWidth="1"/>
    <col min="7" max="7" width="11" style="1" bestFit="1" customWidth="1"/>
    <col min="8" max="10" width="7.42578125" style="1" customWidth="1"/>
    <col min="11" max="11" width="33.28515625" style="11" customWidth="1"/>
    <col min="12" max="12" width="70.5703125" style="11" customWidth="1"/>
    <col min="13" max="13" width="9.140625" style="1" customWidth="1"/>
  </cols>
  <sheetData>
    <row r="1" spans="1:12" ht="26.25" customHeight="1" x14ac:dyDescent="0.25">
      <c r="A1" s="3" t="s">
        <v>0</v>
      </c>
      <c r="C1" s="4" t="s">
        <v>1</v>
      </c>
      <c r="D1" s="9" t="s">
        <v>8</v>
      </c>
      <c r="E1" s="9" t="s">
        <v>10</v>
      </c>
      <c r="F1" s="9" t="s">
        <v>12</v>
      </c>
      <c r="G1" s="9" t="s">
        <v>16</v>
      </c>
    </row>
    <row r="2" spans="1:12" x14ac:dyDescent="0.25">
      <c r="A2" s="7" t="s">
        <v>7</v>
      </c>
      <c r="D2" s="4" t="s">
        <v>3</v>
      </c>
      <c r="E2" s="4" t="s">
        <v>4</v>
      </c>
      <c r="F2" s="4" t="s">
        <v>5</v>
      </c>
      <c r="G2" s="4" t="s">
        <v>6</v>
      </c>
      <c r="K2" s="4" t="s">
        <v>58</v>
      </c>
      <c r="L2" s="4" t="s">
        <v>57</v>
      </c>
    </row>
    <row r="3" spans="1:12" x14ac:dyDescent="0.25">
      <c r="D3" s="2">
        <v>939</v>
      </c>
      <c r="E3" s="1" t="s">
        <v>37</v>
      </c>
      <c r="F3" s="6">
        <v>44227</v>
      </c>
      <c r="G3" s="2" t="s">
        <v>17</v>
      </c>
      <c r="H3" s="2"/>
      <c r="I3" s="2"/>
      <c r="J3" s="2"/>
      <c r="K3" s="12" t="str">
        <f>InsertIntoSQL("INSERT",$A$2,$D$1,D3)</f>
        <v>INSERT INTO SAMPLE_TABLE (CUSTOMER_ID) VALUES (939)</v>
      </c>
      <c r="L3" s="12" t="str">
        <f>InsertIntoSQL("SELECT",$A$2,$D$1,D3)</f>
        <v>SELECT 939 AS CUSTOMER_ID FROM DUAL UNION ALL</v>
      </c>
    </row>
    <row r="4" spans="1:12" x14ac:dyDescent="0.25">
      <c r="B4" s="1"/>
      <c r="D4" s="2">
        <v>470</v>
      </c>
      <c r="E4" s="1" t="s">
        <v>38</v>
      </c>
      <c r="F4" s="6">
        <v>44255</v>
      </c>
      <c r="G4" s="2" t="s">
        <v>18</v>
      </c>
      <c r="H4" s="2"/>
      <c r="I4" s="2"/>
      <c r="J4" s="2"/>
      <c r="K4" s="12" t="str">
        <f>InsertIntoSQL("INSERT",$A$2,$D$1,D4,$E$1,E4)</f>
        <v>INSERT INTO SAMPLE_TABLE (CUSTOMER_ID, DEPARTMENT_NAME) VALUES (470, 'DEPT. 5')</v>
      </c>
      <c r="L4" s="11" t="str">
        <f>InsertIntoSQL("SELECT",$A$2,$D$1,D4,$E$1,E4)</f>
        <v>SELECT 470 AS CUSTOMER_ID, 'DEPT. 5' AS DEPARTMENT_NAME FROM DUAL UNION ALL</v>
      </c>
    </row>
    <row r="5" spans="1:12" x14ac:dyDescent="0.25">
      <c r="B5" s="1"/>
      <c r="C5"/>
      <c r="D5" s="2">
        <v>830</v>
      </c>
      <c r="E5" s="1" t="s">
        <v>39</v>
      </c>
      <c r="F5" s="6">
        <v>44286</v>
      </c>
      <c r="G5" s="2" t="s">
        <v>19</v>
      </c>
      <c r="H5" s="2"/>
      <c r="I5" s="2"/>
      <c r="J5" s="2"/>
      <c r="K5" s="12" t="str">
        <f>InsertIntoSQL("INSERT",$A$2,$D$1,D5,$E$1,E5,$F$1,F5)</f>
        <v>INSERT INTO SAMPLE_TABLE (CUSTOMER_ID, DEPARTMENT_NAME, HIRE_DATE) VALUES (830, 'DEPT. 6', TO_DATE('31.03.2021','DDMMYYYY'))</v>
      </c>
      <c r="L5" s="11" t="str">
        <f>InsertIntoSQL("SELECT",$A$2,$D$1,D5,$E$1,E5,$F$1,F5)</f>
        <v>SELECT 830 AS CUSTOMER_ID, 'DEPT. 6' AS DEPARTMENT_NAME, TO_DATE('31.03.2021','DDMMYYYY') AS HIRE_DATE FROM DUAL UNION ALL</v>
      </c>
    </row>
    <row r="6" spans="1:12" x14ac:dyDescent="0.25">
      <c r="A6"/>
      <c r="B6" s="1"/>
      <c r="C6"/>
      <c r="D6" s="2">
        <v>390</v>
      </c>
      <c r="E6" s="1" t="s">
        <v>40</v>
      </c>
      <c r="F6" s="6">
        <v>44316</v>
      </c>
      <c r="G6" s="2" t="s">
        <v>20</v>
      </c>
      <c r="H6" s="2"/>
      <c r="I6" s="2"/>
      <c r="J6" s="2"/>
      <c r="K6" s="12" t="str">
        <f>InsertIntoSQL("INSERT",$A$2,$D$1,D6,$E$1,E6,$F$1,F6,$G$1,G6)</f>
        <v>INSERT INTO SAMPLE_TABLE (CUSTOMER_ID, DEPARTMENT_NAME, HIRE_DATE, OTHER_FIELD) VALUES (390, 'DEPT. 7', TO_DATE('30.04.2021','DDMMYYYY'), 'OTHER TEXT 7')</v>
      </c>
      <c r="L6" s="11" t="str">
        <f>InsertIntoSQL("SELECT",$A$2,$D$1,D6,$E$1,E6,$F$1,F6,$G$1,G6)</f>
        <v>SELECT 390 AS CUSTOMER_ID, 'DEPT. 7' AS DEPARTMENT_NAME, TO_DATE('30.04.2021','DDMMYYYY') AS HIRE_DATE, 'OTHER TEXT 7' AS OTHER_FIELD FROM DUAL UNION ALL</v>
      </c>
    </row>
    <row r="7" spans="1:12" x14ac:dyDescent="0.25">
      <c r="A7"/>
      <c r="B7" s="1"/>
      <c r="C7"/>
      <c r="D7" s="2">
        <v>982</v>
      </c>
      <c r="E7" s="1" t="s">
        <v>41</v>
      </c>
      <c r="F7" s="6">
        <v>44347</v>
      </c>
      <c r="G7" s="2" t="s">
        <v>21</v>
      </c>
      <c r="H7" s="2"/>
      <c r="I7" s="2"/>
      <c r="J7" s="2"/>
      <c r="K7" s="12" t="str">
        <f>InsertIntoSQL("INSERT",$A$2,$D$1,D7,$E$1,E7,$F$1,F7,$G$1,G7)</f>
        <v>INSERT INTO SAMPLE_TABLE (CUSTOMER_ID, DEPARTMENT_NAME, HIRE_DATE, OTHER_FIELD) VALUES (982, 'DEPT. 8', TO_DATE('31.05.2021','DDMMYYYY'), 'OTHER TEXT 8')</v>
      </c>
      <c r="L7" s="11" t="str">
        <f t="shared" ref="L7:L22" si="0">InsertIntoSQL("SELECT",$A$2,$D$1,D7,$E$1,E7,$F$1,F7,$G$1,G7)</f>
        <v>SELECT 982 AS CUSTOMER_ID, 'DEPT. 8' AS DEPARTMENT_NAME, TO_DATE('31.05.2021','DDMMYYYY') AS HIRE_DATE, 'OTHER TEXT 8' AS OTHER_FIELD FROM DUAL UNION ALL</v>
      </c>
    </row>
    <row r="8" spans="1:12" x14ac:dyDescent="0.25">
      <c r="A8"/>
      <c r="B8" s="5"/>
      <c r="C8"/>
      <c r="D8" s="2">
        <v>213</v>
      </c>
      <c r="E8" s="1" t="s">
        <v>42</v>
      </c>
      <c r="F8" s="6">
        <v>44377</v>
      </c>
      <c r="G8" s="2" t="s">
        <v>22</v>
      </c>
      <c r="H8" s="2"/>
      <c r="I8" s="2"/>
      <c r="J8" s="2"/>
      <c r="K8" s="12" t="str">
        <f>InsertIntoSQL("INSERT",$A$2,$D$1,D8,$E$1,E8,$F$1,F8,$G$1,G8)</f>
        <v>INSERT INTO SAMPLE_TABLE (CUSTOMER_ID, DEPARTMENT_NAME, HIRE_DATE, OTHER_FIELD) VALUES (213, 'DEPT. 9', TO_DATE('30.06.2021','DDMMYYYY'), 'OTHER TEXT 9')</v>
      </c>
      <c r="L8" s="11" t="str">
        <f t="shared" si="0"/>
        <v>SELECT 213 AS CUSTOMER_ID, 'DEPT. 9' AS DEPARTMENT_NAME, TO_DATE('30.06.2021','DDMMYYYY') AS HIRE_DATE, 'OTHER TEXT 9' AS OTHER_FIELD FROM DUAL UNION ALL</v>
      </c>
    </row>
    <row r="9" spans="1:12" x14ac:dyDescent="0.25">
      <c r="A9"/>
      <c r="B9" s="5"/>
      <c r="C9"/>
      <c r="D9" s="2">
        <v>832</v>
      </c>
      <c r="E9" s="1" t="s">
        <v>43</v>
      </c>
      <c r="F9" s="6">
        <v>44408</v>
      </c>
      <c r="G9" s="2" t="s">
        <v>23</v>
      </c>
      <c r="H9" s="2"/>
      <c r="I9" s="2"/>
      <c r="J9" s="2"/>
      <c r="K9" s="12" t="str">
        <f>InsertIntoSQL("INSERT",$A$2,$D$1,D9,$E$1,E9,$F$1,F9,$G$1,G9)</f>
        <v>INSERT INTO SAMPLE_TABLE (CUSTOMER_ID, DEPARTMENT_NAME, HIRE_DATE, OTHER_FIELD) VALUES (832, 'DEPT. 10', TO_DATE('31.07.2021','DDMMYYYY'), 'OTHER TEXT 10')</v>
      </c>
      <c r="L9" s="11" t="str">
        <f t="shared" si="0"/>
        <v>SELECT 832 AS CUSTOMER_ID, 'DEPT. 10' AS DEPARTMENT_NAME, TO_DATE('31.07.2021','DDMMYYYY') AS HIRE_DATE, 'OTHER TEXT 10' AS OTHER_FIELD FROM DUAL UNION ALL</v>
      </c>
    </row>
    <row r="10" spans="1:12" x14ac:dyDescent="0.25">
      <c r="A10"/>
      <c r="B10" s="5"/>
      <c r="C10"/>
      <c r="D10" s="2">
        <v>187</v>
      </c>
      <c r="E10" s="1" t="s">
        <v>44</v>
      </c>
      <c r="F10" s="6">
        <v>44439</v>
      </c>
      <c r="G10" s="2" t="s">
        <v>24</v>
      </c>
      <c r="H10" s="2"/>
      <c r="I10" s="2"/>
      <c r="J10" s="2"/>
      <c r="K10" s="12" t="str">
        <f>InsertIntoSQL("INSERT",$A$2,$D$1,D10,$E$1,E10,$F$1,F10,$G$1,G10)</f>
        <v>INSERT INTO SAMPLE_TABLE (CUSTOMER_ID, DEPARTMENT_NAME, HIRE_DATE, OTHER_FIELD) VALUES (187, 'DEPT. 11', TO_DATE('31.08.2021','DDMMYYYY'), 'OTHER TEXT 11')</v>
      </c>
      <c r="L10" s="11" t="str">
        <f t="shared" si="0"/>
        <v>SELECT 187 AS CUSTOMER_ID, 'DEPT. 11' AS DEPARTMENT_NAME, TO_DATE('31.08.2021','DDMMYYYY') AS HIRE_DATE, 'OTHER TEXT 11' AS OTHER_FIELD FROM DUAL UNION ALL</v>
      </c>
    </row>
    <row r="11" spans="1:12" x14ac:dyDescent="0.25">
      <c r="A11"/>
      <c r="B11" s="5"/>
      <c r="C11"/>
      <c r="D11" s="2">
        <v>322</v>
      </c>
      <c r="E11" s="1" t="s">
        <v>45</v>
      </c>
      <c r="F11" s="6">
        <v>44469</v>
      </c>
      <c r="G11" s="2" t="s">
        <v>25</v>
      </c>
      <c r="H11" s="2"/>
      <c r="I11" s="2"/>
      <c r="J11" s="2"/>
      <c r="K11" s="12" t="str">
        <f>InsertIntoSQL("INSERT",$A$2,$D$1,D11,$E$1,E11,$F$1,F11,$G$1,G11)</f>
        <v>INSERT INTO SAMPLE_TABLE (CUSTOMER_ID, DEPARTMENT_NAME, HIRE_DATE, OTHER_FIELD) VALUES (322, 'DEPT. 12', TO_DATE('30.09.2021','DDMMYYYY'), 'OTHER TEXT 12')</v>
      </c>
      <c r="L11" s="11" t="str">
        <f t="shared" si="0"/>
        <v>SELECT 322 AS CUSTOMER_ID, 'DEPT. 12' AS DEPARTMENT_NAME, TO_DATE('30.09.2021','DDMMYYYY') AS HIRE_DATE, 'OTHER TEXT 12' AS OTHER_FIELD FROM DUAL UNION ALL</v>
      </c>
    </row>
    <row r="12" spans="1:12" x14ac:dyDescent="0.25">
      <c r="A12"/>
      <c r="B12" s="5"/>
      <c r="C12"/>
      <c r="D12" s="2">
        <v>760</v>
      </c>
      <c r="E12" s="1" t="s">
        <v>46</v>
      </c>
      <c r="F12" s="6">
        <v>44500</v>
      </c>
      <c r="G12" s="2" t="s">
        <v>26</v>
      </c>
      <c r="H12" s="2"/>
      <c r="I12" s="2"/>
      <c r="J12" s="2"/>
      <c r="K12" s="12" t="str">
        <f>InsertIntoSQL("INSERT",$A$2,$D$1,D12,$E$1,E12,$F$1,F12,$G$1,G12)</f>
        <v>INSERT INTO SAMPLE_TABLE (CUSTOMER_ID, DEPARTMENT_NAME, HIRE_DATE, OTHER_FIELD) VALUES (760, 'DEPT. 13', TO_DATE('31.10.2021','DDMMYYYY'), 'OTHER TEXT 13')</v>
      </c>
      <c r="L12" s="11" t="str">
        <f t="shared" si="0"/>
        <v>SELECT 760 AS CUSTOMER_ID, 'DEPT. 13' AS DEPARTMENT_NAME, TO_DATE('31.10.2021','DDMMYYYY') AS HIRE_DATE, 'OTHER TEXT 13' AS OTHER_FIELD FROM DUAL UNION ALL</v>
      </c>
    </row>
    <row r="13" spans="1:12" x14ac:dyDescent="0.25">
      <c r="A13"/>
      <c r="B13" s="5"/>
      <c r="C13"/>
      <c r="D13" s="2">
        <v>766</v>
      </c>
      <c r="E13" s="1" t="s">
        <v>47</v>
      </c>
      <c r="F13" s="6">
        <v>44530</v>
      </c>
      <c r="G13" s="2" t="s">
        <v>27</v>
      </c>
      <c r="H13" s="2"/>
      <c r="I13" s="2"/>
      <c r="J13" s="2"/>
      <c r="K13" s="12" t="str">
        <f>InsertIntoSQL("INSERT",$A$2,$D$1,D13,$E$1,E13,$F$1,F13,$G$1,G13)</f>
        <v>INSERT INTO SAMPLE_TABLE (CUSTOMER_ID, DEPARTMENT_NAME, HIRE_DATE, OTHER_FIELD) VALUES (766, 'DEPT. 14', TO_DATE('30.11.2021','DDMMYYYY'), 'OTHER TEXT 14')</v>
      </c>
      <c r="L13" s="11" t="str">
        <f t="shared" si="0"/>
        <v>SELECT 766 AS CUSTOMER_ID, 'DEPT. 14' AS DEPARTMENT_NAME, TO_DATE('30.11.2021','DDMMYYYY') AS HIRE_DATE, 'OTHER TEXT 14' AS OTHER_FIELD FROM DUAL UNION ALL</v>
      </c>
    </row>
    <row r="14" spans="1:12" x14ac:dyDescent="0.25">
      <c r="A14"/>
      <c r="B14" s="5"/>
      <c r="C14"/>
      <c r="D14" s="2">
        <v>516</v>
      </c>
      <c r="E14" s="1" t="s">
        <v>48</v>
      </c>
      <c r="F14" s="6">
        <v>44561</v>
      </c>
      <c r="G14" s="2" t="s">
        <v>28</v>
      </c>
      <c r="H14" s="2"/>
      <c r="I14" s="2"/>
      <c r="J14" s="2"/>
      <c r="K14" s="12" t="str">
        <f>InsertIntoSQL("INSERT",$A$2,$D$1,D14,$E$1,E14,$F$1,F14,$G$1,G14)</f>
        <v>INSERT INTO SAMPLE_TABLE (CUSTOMER_ID, DEPARTMENT_NAME, HIRE_DATE, OTHER_FIELD) VALUES (516, 'DEPT. 15', TO_DATE('31.12.2021','DDMMYYYY'), 'OTHER TEXT 15')</v>
      </c>
      <c r="L14" s="11" t="str">
        <f t="shared" si="0"/>
        <v>SELECT 516 AS CUSTOMER_ID, 'DEPT. 15' AS DEPARTMENT_NAME, TO_DATE('31.12.2021','DDMMYYYY') AS HIRE_DATE, 'OTHER TEXT 15' AS OTHER_FIELD FROM DUAL UNION ALL</v>
      </c>
    </row>
    <row r="15" spans="1:12" x14ac:dyDescent="0.25">
      <c r="A15"/>
      <c r="B15" s="5"/>
      <c r="C15"/>
      <c r="D15" s="2">
        <v>594</v>
      </c>
      <c r="E15" s="1" t="s">
        <v>49</v>
      </c>
      <c r="F15" s="6">
        <v>44592</v>
      </c>
      <c r="G15" s="2" t="s">
        <v>29</v>
      </c>
      <c r="H15" s="2"/>
      <c r="I15" s="2"/>
      <c r="J15" s="2"/>
      <c r="K15" s="12" t="str">
        <f>InsertIntoSQL("INSERT",$A$2,$D$1,D15,$E$1,E15,$F$1,F15,$G$1,G15)</f>
        <v>INSERT INTO SAMPLE_TABLE (CUSTOMER_ID, DEPARTMENT_NAME, HIRE_DATE, OTHER_FIELD) VALUES (594, 'DEPT. 16', TO_DATE('31.01.2022','DDMMYYYY'), 'OTHER TEXT 16')</v>
      </c>
      <c r="L15" s="11" t="str">
        <f t="shared" si="0"/>
        <v>SELECT 594 AS CUSTOMER_ID, 'DEPT. 16' AS DEPARTMENT_NAME, TO_DATE('31.01.2022','DDMMYYYY') AS HIRE_DATE, 'OTHER TEXT 16' AS OTHER_FIELD FROM DUAL UNION ALL</v>
      </c>
    </row>
    <row r="16" spans="1:12" x14ac:dyDescent="0.25">
      <c r="A16"/>
      <c r="B16" s="5"/>
      <c r="C16"/>
      <c r="D16" s="2">
        <v>259</v>
      </c>
      <c r="E16" s="1" t="s">
        <v>50</v>
      </c>
      <c r="F16" s="6">
        <v>44620</v>
      </c>
      <c r="G16" s="2" t="s">
        <v>30</v>
      </c>
      <c r="H16" s="2"/>
      <c r="I16" s="2"/>
      <c r="J16" s="2"/>
      <c r="K16" s="12" t="str">
        <f>InsertIntoSQL("INSERT",$A$2,$D$1,D16,$E$1,E16,$F$1,F16,$G$1,G16)</f>
        <v>INSERT INTO SAMPLE_TABLE (CUSTOMER_ID, DEPARTMENT_NAME, HIRE_DATE, OTHER_FIELD) VALUES (259, 'DEPT. 17', TO_DATE('28.02.2022','DDMMYYYY'), 'OTHER TEXT 17')</v>
      </c>
      <c r="L16" s="11" t="str">
        <f t="shared" si="0"/>
        <v>SELECT 259 AS CUSTOMER_ID, 'DEPT. 17' AS DEPARTMENT_NAME, TO_DATE('28.02.2022','DDMMYYYY') AS HIRE_DATE, 'OTHER TEXT 17' AS OTHER_FIELD FROM DUAL UNION ALL</v>
      </c>
    </row>
    <row r="17" spans="1:12" x14ac:dyDescent="0.25">
      <c r="A17"/>
      <c r="B17" s="5"/>
      <c r="C17"/>
      <c r="D17" s="2">
        <v>572</v>
      </c>
      <c r="E17" s="1" t="s">
        <v>51</v>
      </c>
      <c r="F17" s="6">
        <v>44651</v>
      </c>
      <c r="G17" s="2" t="s">
        <v>31</v>
      </c>
      <c r="H17" s="2"/>
      <c r="I17" s="2"/>
      <c r="J17" s="2"/>
      <c r="K17" s="12" t="str">
        <f>InsertIntoSQL("INSERT",$A$2,$D$1,D17,$E$1,E17,$F$1,F17,$G$1,G17)</f>
        <v>INSERT INTO SAMPLE_TABLE (CUSTOMER_ID, DEPARTMENT_NAME, HIRE_DATE, OTHER_FIELD) VALUES (572, 'DEPT. 18', TO_DATE('31.03.2022','DDMMYYYY'), 'OTHER TEXT 18')</v>
      </c>
      <c r="L17" s="11" t="str">
        <f t="shared" si="0"/>
        <v>SELECT 572 AS CUSTOMER_ID, 'DEPT. 18' AS DEPARTMENT_NAME, TO_DATE('31.03.2022','DDMMYYYY') AS HIRE_DATE, 'OTHER TEXT 18' AS OTHER_FIELD FROM DUAL UNION ALL</v>
      </c>
    </row>
    <row r="18" spans="1:12" x14ac:dyDescent="0.25">
      <c r="A18"/>
      <c r="B18" s="5"/>
      <c r="C18"/>
      <c r="D18" s="2">
        <v>623</v>
      </c>
      <c r="E18" s="1" t="s">
        <v>52</v>
      </c>
      <c r="F18" s="6">
        <v>44681</v>
      </c>
      <c r="G18" s="2" t="s">
        <v>32</v>
      </c>
      <c r="H18" s="2"/>
      <c r="I18" s="2"/>
      <c r="J18" s="2"/>
      <c r="K18" s="12" t="str">
        <f>InsertIntoSQL("INSERT",$A$2,$D$1,D18,$E$1,E18,$F$1,F18,$G$1,G18)</f>
        <v>INSERT INTO SAMPLE_TABLE (CUSTOMER_ID, DEPARTMENT_NAME, HIRE_DATE, OTHER_FIELD) VALUES (623, 'DEPT. 19', TO_DATE('30.04.2022','DDMMYYYY'), 'OTHER TEXT 19')</v>
      </c>
      <c r="L18" s="11" t="str">
        <f t="shared" si="0"/>
        <v>SELECT 623 AS CUSTOMER_ID, 'DEPT. 19' AS DEPARTMENT_NAME, TO_DATE('30.04.2022','DDMMYYYY') AS HIRE_DATE, 'OTHER TEXT 19' AS OTHER_FIELD FROM DUAL UNION ALL</v>
      </c>
    </row>
    <row r="19" spans="1:12" x14ac:dyDescent="0.25">
      <c r="A19"/>
      <c r="B19" s="5"/>
      <c r="C19"/>
      <c r="D19" s="2">
        <v>824</v>
      </c>
      <c r="E19" s="1" t="s">
        <v>53</v>
      </c>
      <c r="F19" s="6">
        <v>44712</v>
      </c>
      <c r="G19" s="2" t="s">
        <v>33</v>
      </c>
      <c r="H19" s="2"/>
      <c r="I19" s="2"/>
      <c r="J19" s="2"/>
      <c r="K19" s="12" t="str">
        <f>InsertIntoSQL("INSERT",$A$2,$D$1,D19,$E$1,E19,$F$1,F19,$G$1,G19)</f>
        <v>INSERT INTO SAMPLE_TABLE (CUSTOMER_ID, DEPARTMENT_NAME, HIRE_DATE, OTHER_FIELD) VALUES (824, 'DEPT. 20', TO_DATE('31.05.2022','DDMMYYYY'), 'OTHER TEXT 20')</v>
      </c>
      <c r="L19" s="11" t="str">
        <f t="shared" si="0"/>
        <v>SELECT 824 AS CUSTOMER_ID, 'DEPT. 20' AS DEPARTMENT_NAME, TO_DATE('31.05.2022','DDMMYYYY') AS HIRE_DATE, 'OTHER TEXT 20' AS OTHER_FIELD FROM DUAL UNION ALL</v>
      </c>
    </row>
    <row r="20" spans="1:12" x14ac:dyDescent="0.25">
      <c r="A20"/>
      <c r="B20" s="5"/>
      <c r="C20"/>
      <c r="D20" s="2">
        <v>749</v>
      </c>
      <c r="E20" s="1" t="s">
        <v>54</v>
      </c>
      <c r="F20" s="6">
        <v>44742</v>
      </c>
      <c r="G20" s="2" t="s">
        <v>34</v>
      </c>
      <c r="H20" s="2"/>
      <c r="I20" s="2"/>
      <c r="J20" s="2"/>
      <c r="K20" s="12" t="str">
        <f>InsertIntoSQL("INSERT",$A$2,$D$1,D20,$E$1,E20,$F$1,F20,$G$1,G20)</f>
        <v>INSERT INTO SAMPLE_TABLE (CUSTOMER_ID, DEPARTMENT_NAME, HIRE_DATE, OTHER_FIELD) VALUES (749, 'DEPT. 21', TO_DATE('30.06.2022','DDMMYYYY'), 'OTHER TEXT 21')</v>
      </c>
      <c r="L20" s="11" t="str">
        <f t="shared" si="0"/>
        <v>SELECT 749 AS CUSTOMER_ID, 'DEPT. 21' AS DEPARTMENT_NAME, TO_DATE('30.06.2022','DDMMYYYY') AS HIRE_DATE, 'OTHER TEXT 21' AS OTHER_FIELD FROM DUAL UNION ALL</v>
      </c>
    </row>
    <row r="21" spans="1:12" x14ac:dyDescent="0.25">
      <c r="A21"/>
      <c r="B21" s="5"/>
      <c r="C21"/>
      <c r="D21" s="2">
        <v>165</v>
      </c>
      <c r="E21" s="1" t="s">
        <v>55</v>
      </c>
      <c r="F21" s="6">
        <v>44773</v>
      </c>
      <c r="G21" s="2" t="s">
        <v>35</v>
      </c>
      <c r="H21" s="2"/>
      <c r="I21" s="2"/>
      <c r="J21" s="2"/>
      <c r="K21" s="12" t="str">
        <f>InsertIntoSQL("INSERT",$A$2,$D$1,D21,$E$1,E21,$F$1,F21,$G$1,G21)</f>
        <v>INSERT INTO SAMPLE_TABLE (CUSTOMER_ID, DEPARTMENT_NAME, HIRE_DATE, OTHER_FIELD) VALUES (165, 'DEPT. 22', TO_DATE('31.07.2022','DDMMYYYY'), 'OTHER TEXT 22')</v>
      </c>
      <c r="L21" s="11" t="str">
        <f t="shared" si="0"/>
        <v>SELECT 165 AS CUSTOMER_ID, 'DEPT. 22' AS DEPARTMENT_NAME, TO_DATE('31.07.2022','DDMMYYYY') AS HIRE_DATE, 'OTHER TEXT 22' AS OTHER_FIELD FROM DUAL UNION ALL</v>
      </c>
    </row>
    <row r="22" spans="1:12" x14ac:dyDescent="0.25">
      <c r="A22"/>
      <c r="B22" s="5"/>
      <c r="C22"/>
      <c r="D22" s="2">
        <v>760</v>
      </c>
      <c r="E22" s="1" t="s">
        <v>56</v>
      </c>
      <c r="F22" s="6">
        <v>44804</v>
      </c>
      <c r="G22" s="2" t="s">
        <v>36</v>
      </c>
      <c r="H22" s="2"/>
      <c r="I22" s="2"/>
      <c r="J22" s="2"/>
      <c r="K22" s="12" t="str">
        <f>InsertIntoSQL("INSERT",$A$2,$D$1,D22,$E$1,E22,$F$1,F22,$G$1,G22)</f>
        <v>INSERT INTO SAMPLE_TABLE (CUSTOMER_ID, DEPARTMENT_NAME, HIRE_DATE, OTHER_FIELD) VALUES (760, 'DEPT. 23', TO_DATE('31.08.2022','DDMMYYYY'), 'OTHER TEXT 23')</v>
      </c>
      <c r="L22" s="11" t="str">
        <f t="shared" si="0"/>
        <v>SELECT 760 AS CUSTOMER_ID, 'DEPT. 23' AS DEPARTMENT_NAME, TO_DATE('31.08.2022','DDMMYYYY') AS HIRE_DATE, 'OTHER TEXT 23' AS OTHER_FIELD FROM DUAL UNION ALL</v>
      </c>
    </row>
    <row r="23" spans="1:12" x14ac:dyDescent="0.25">
      <c r="A23"/>
      <c r="B23" s="5"/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INSERT_VERSION</vt:lpstr>
      <vt:lpstr>DUAL VERSION</vt:lpstr>
      <vt:lpstr>VBA_VERSION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cp:revision>1</cp:revision>
  <dcterms:created xsi:type="dcterms:W3CDTF">2022-10-21T22:05:42Z</dcterms:created>
  <dcterms:modified xsi:type="dcterms:W3CDTF">2022-10-21T22:19:58Z</dcterms:modified>
  <dc:language/>
</cp:coreProperties>
</file>